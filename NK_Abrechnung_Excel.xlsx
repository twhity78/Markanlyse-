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Übersicht" sheetId="2" state="visible" r:id="rId4"/>
    <sheet name="Zählerstände" sheetId="3" state="visible" r:id="rId5"/>
    <sheet name="Kosten" sheetId="4" state="visible" r:id="rId6"/>
    <sheet name="Perioden" sheetId="5" state="visible" r:id="rId7"/>
    <sheet name="Berechnung" sheetId="6" state="visible" r:id="rId8"/>
    <sheet name="Abr_P1_Felix" sheetId="7" state="visible" r:id="rId9"/>
    <sheet name="Abr_Leerstand" sheetId="8" state="visible" r:id="rId10"/>
    <sheet name="Abr_P2_Beltz" sheetId="9" state="visible" r:id="rId11"/>
    <sheet name="Abr_Folgeperiode" sheetId="10" state="visible" r:id="rId12"/>
    <sheet name="Eigentümer" sheetId="11" state="visible" r:id="rId13"/>
    <sheet name="Monatsraster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<sst xmlns="http://schemas.openxmlformats.org/spreadsheetml/2006/main" count="354" uniqueCount="255">
  <si>
    <t xml:space="preserve">NK-Abrechnung Teinacher Str. 4 – Excel-Version</t>
  </si>
  <si>
    <t xml:space="preserve">Zweck</t>
  </si>
  <si>
    <t xml:space="preserve">Diese Mappe rechnet die Nebenkostenabrechnung wie die App – ohne Programm. Zählerstände und Kosten eintragen, alle Ergebnisse berechnen sich sofort selbst.</t>
  </si>
  <si>
    <t xml:space="preserve">Farblegende</t>
  </si>
  <si>
    <t xml:space="preserve">Gelbes Feld, blaue Schrift = hier eintragen/ändern.</t>
  </si>
  <si>
    <t xml:space="preserve">Schwarze Schrift = Formel, nicht überschreiben.  Grüne Schrift = Verweis auf ein anderes Blatt.</t>
  </si>
  <si>
    <t xml:space="preserve">Blätter</t>
  </si>
  <si>
    <t xml:space="preserve">Übersicht – Ergebnisse je Partei und Vergleich mit den dokumentierten Werten (Kontrolle).</t>
  </si>
  <si>
    <t xml:space="preserve">Zählerstände – Ablesedatum und Zählerstand je Stichtag (Stand 4 = Folgeperiode, noch leer).</t>
  </si>
  <si>
    <t xml:space="preserve">Kosten – Strompreis, Grundpreis, Wasser-/Niederschlagstarife, Versicherung, Grundsteuer.</t>
  </si>
  <si>
    <t xml:space="preserve">Perioden – Parteien, Zeiträume, Vorauszahlungen, welche Stichtage gelten.</t>
  </si>
  <si>
    <t xml:space="preserve">Berechnung – Verbrauch, Heizschlüssel, COP-Plausibilitätsprüfung.</t>
  </si>
  <si>
    <t xml:space="preserve">Abr_… – die einzelnen Abrechnungen. Eigentümer – Verrechnung mit Christine. Monatsraster – Hilfsblatt.</t>
  </si>
  <si>
    <t xml:space="preserve">So rechnen Sie die Folgeperiode ab (neuer Eigentümer ↔ Christine)</t>
  </si>
  <si>
    <t xml:space="preserve">1. Blatt 'Zählerstände': Datum und Zählerstände zum neuen Stichtag in Spalte 'Stand 4' eintragen.</t>
  </si>
  <si>
    <t xml:space="preserve">2. Blatt 'Perioden', Zeile P3: Beginn, Ende, Monate und geleistete Zahlungen anpassen.</t>
  </si>
  <si>
    <t xml:space="preserve">3. Blatt 'Abr_Folgeperiode': Ergebnis ablesen. Der Hauptwasseranschluss ist geteilt – über Christine laufen nur noch Heizung und Warmwasser; Kaltwasser ist daher aus. Die Schalter (1/0) lassen sich ändern.</t>
  </si>
  <si>
    <t xml:space="preserve">4. Blatt 'Eigentümer': Zahlung pro Monat eintragen, Saldo der Folgeperiode ablesen.</t>
  </si>
  <si>
    <t xml:space="preserve">Für weitere Folgeperioden: Stichtag-Nr. in 'Perioden' weiterschalten bzw. die Mappe als Kopie neu befüllen.</t>
  </si>
  <si>
    <t xml:space="preserve">Wichtige Regeln</t>
  </si>
  <si>
    <t xml:space="preserve">COP prüfen (Blatt Berechnung/Übersicht): üblich 2–5. 'PRÜFEN' = Ablese- oder Registerfehler wahrscheinlich.</t>
  </si>
  <si>
    <t xml:space="preserve">Der März-2026-Stand der Wärmemengenzähler ist bewusst NICHT enthalten (falsches Register).</t>
  </si>
  <si>
    <t xml:space="preserve">Max. 24 Monate je Periode. Tarife für 2026–2030 sind Fortschreibungen – bei neuem Bescheid ändern.</t>
  </si>
  <si>
    <t xml:space="preserve">Beispiel-Eingabe (Format)</t>
  </si>
  <si>
    <t xml:space="preserve">Zählerstände Beltz-Periode: 40467,30 kWh (WP-Strom, Stichtag 3) – Dezimalkomma wie in Deutschland üblich.</t>
  </si>
  <si>
    <t xml:space="preserve">Übersicht der Ergebnisse</t>
  </si>
  <si>
    <t xml:space="preserve">Vergleich mit den dokumentierten Werten aus der Projekt-Zusammenfassung (19.06.2026, vom Nutzer). Weichen die Werte ab, wurden Eingaben geändert.</t>
  </si>
  <si>
    <t xml:space="preserve">Partei</t>
  </si>
  <si>
    <t xml:space="preserve">SOLL</t>
  </si>
  <si>
    <t xml:space="preserve">IST</t>
  </si>
  <si>
    <t xml:space="preserve">Saldo</t>
  </si>
  <si>
    <t xml:space="preserve">Dokumentierter SOLL-Wert</t>
  </si>
  <si>
    <t xml:space="preserve">Abweichung</t>
  </si>
  <si>
    <t xml:space="preserve">Prüfung</t>
  </si>
  <si>
    <t xml:space="preserve">Felix Adameck (P1)</t>
  </si>
  <si>
    <t xml:space="preserve">Leerstand (Thomas Weis)</t>
  </si>
  <si>
    <t xml:space="preserve">Fam. Beltz (P2)</t>
  </si>
  <si>
    <t xml:space="preserve">WW-EG Kulanz (erlassen)</t>
  </si>
  <si>
    <t xml:space="preserve">Folgeperiode (ab Eigentümerwechsel)</t>
  </si>
  <si>
    <t xml:space="preserve">noch keine Vergleichswerte</t>
  </si>
  <si>
    <t xml:space="preserve">Toleranz 2 Cent (Rundungsunterschiede im Ausgangsdokument, z. B. Grundsteuer 235,97 vs. 235,98 €).</t>
  </si>
  <si>
    <t xml:space="preserve">Positiver Saldo = Nachzahlung des Mieters bzw. von Thomas zu tragen.</t>
  </si>
  <si>
    <t xml:space="preserve">Heizschlüssel &amp; COP</t>
  </si>
  <si>
    <t xml:space="preserve">Heizschlüssel UG</t>
  </si>
  <si>
    <t xml:space="preserve">COP</t>
  </si>
  <si>
    <t xml:space="preserve">Periode 1 (Feb 2024 – Mai 2025)</t>
  </si>
  <si>
    <t xml:space="preserve">Leerstand + Periode 2 (Mai 2025 – Jun 2026)</t>
  </si>
  <si>
    <t xml:space="preserve">Zählerstände (Eingabe)</t>
  </si>
  <si>
    <t xml:space="preserve">Gelbe Felder mit blauer Schrift sind Eingabefelder. Datum der Ablesung und Zählerstand eintragen – alles andere rechnet die Mappe selbst.</t>
  </si>
  <si>
    <t xml:space="preserve">Stichtag 1
(Start Periode 1)</t>
  </si>
  <si>
    <t xml:space="preserve">Stichtag 2
(Ende P1 / Start Leerstand)</t>
  </si>
  <si>
    <t xml:space="preserve">Stichtag 3
(Abrechnung Beltz)</t>
  </si>
  <si>
    <t xml:space="preserve">Stichtag 4
(Folgeperiode, noch offen)</t>
  </si>
  <si>
    <t xml:space="preserve">Datum der Ablesung</t>
  </si>
  <si>
    <t xml:space="preserve">Kürzel</t>
  </si>
  <si>
    <t xml:space="preserve">Zähler</t>
  </si>
  <si>
    <t xml:space="preserve">Zähler-Nr.</t>
  </si>
  <si>
    <t xml:space="preserve">Einheit</t>
  </si>
  <si>
    <t xml:space="preserve">Stand 1</t>
  </si>
  <si>
    <t xml:space="preserve">Stand 2</t>
  </si>
  <si>
    <t xml:space="preserve">Stand 3</t>
  </si>
  <si>
    <t xml:space="preserve">Stand 4</t>
  </si>
  <si>
    <t xml:space="preserve">Hinweis</t>
  </si>
  <si>
    <t xml:space="preserve">WP</t>
  </si>
  <si>
    <t xml:space="preserve">WP-Strom (Wärmepumpe)</t>
  </si>
  <si>
    <t xml:space="preserve">401746-0222</t>
  </si>
  <si>
    <t xml:space="preserve">kWh</t>
  </si>
  <si>
    <t xml:space="preserve">UV</t>
  </si>
  <si>
    <t xml:space="preserve">Haushaltsstrom UG</t>
  </si>
  <si>
    <t xml:space="preserve">401349-0222</t>
  </si>
  <si>
    <t xml:space="preserve">WMZ_UG</t>
  </si>
  <si>
    <t xml:space="preserve">Wärmemengenzähler UG</t>
  </si>
  <si>
    <t xml:space="preserve">12654509</t>
  </si>
  <si>
    <t xml:space="preserve">MWh</t>
  </si>
  <si>
    <t xml:space="preserve">März-2026-Stand bewusst NICHT verwendet (falsches Register, COP unplausibel)</t>
  </si>
  <si>
    <t xml:space="preserve">WMZ_EG</t>
  </si>
  <si>
    <t xml:space="preserve">Wärmemengenzähler EG+DG</t>
  </si>
  <si>
    <t xml:space="preserve">12654523</t>
  </si>
  <si>
    <t xml:space="preserve">KW_UG</t>
  </si>
  <si>
    <t xml:space="preserve">Kaltwasser UG</t>
  </si>
  <si>
    <t xml:space="preserve">12050176</t>
  </si>
  <si>
    <t xml:space="preserve">m³</t>
  </si>
  <si>
    <t xml:space="preserve">WW_UG</t>
  </si>
  <si>
    <t xml:space="preserve">Warmwasser UG</t>
  </si>
  <si>
    <t xml:space="preserve">20424827</t>
  </si>
  <si>
    <t xml:space="preserve">WW_EG</t>
  </si>
  <si>
    <t xml:space="preserve">Warmwasser EG (Kulanz Christine)</t>
  </si>
  <si>
    <t xml:space="preserve">21415602</t>
  </si>
  <si>
    <t xml:space="preserve">Stand 2 nicht nötig (Kulanz rechnet Stand 1 bis 3)</t>
  </si>
  <si>
    <t xml:space="preserve">Die Werte in Stand 1–3 stammen aus der Projekt-Zusammenfassung vom 19.06.2026 (vom Nutzer geliefert). Stand 4 ist für die Folgeperiode nach dem Eigentümerwechsel gedacht.</t>
  </si>
  <si>
    <t xml:space="preserve">Kostensätze (Eingabe)</t>
  </si>
  <si>
    <t xml:space="preserve">Parameter</t>
  </si>
  <si>
    <t xml:space="preserve">Wert</t>
  </si>
  <si>
    <t xml:space="preserve">Hinweis / Quelle</t>
  </si>
  <si>
    <t xml:space="preserve">Strompreis (EnBW)</t>
  </si>
  <si>
    <t xml:space="preserve">€/kWh</t>
  </si>
  <si>
    <t xml:space="preserve">Projekt-Zusammenfassung 19.06.2026</t>
  </si>
  <si>
    <t xml:space="preserve">Fläche UG</t>
  </si>
  <si>
    <t xml:space="preserve">m²</t>
  </si>
  <si>
    <t xml:space="preserve">Gesamtfläche</t>
  </si>
  <si>
    <t xml:space="preserve">UG 88 + EG 182</t>
  </si>
  <si>
    <t xml:space="preserve">UG-Anteil</t>
  </si>
  <si>
    <t xml:space="preserve">Fläche UG / Gesamtfläche</t>
  </si>
  <si>
    <t xml:space="preserve">EnBW-Grundpreis Periode 1 (15 Monate, Haus gesamt)</t>
  </si>
  <si>
    <t xml:space="preserve">€</t>
  </si>
  <si>
    <t xml:space="preserve">EnBW-Grundpreis Periode 2 (Haus gesamt)</t>
  </si>
  <si>
    <t xml:space="preserve">Basis für Monatssatz; finale EnBW-Jahresrechnung 2025/26 noch prüfen</t>
  </si>
  <si>
    <t xml:space="preserve">… Anzahl Monate dieser Rechnung</t>
  </si>
  <si>
    <t xml:space="preserve">Monate</t>
  </si>
  <si>
    <t xml:space="preserve">EnBW-Grundpreis pro Monat</t>
  </si>
  <si>
    <t xml:space="preserve">€/Monat</t>
  </si>
  <si>
    <t xml:space="preserve">Warmwasser-Heizenergie (Gerätekennwert)</t>
  </si>
  <si>
    <t xml:space="preserve">kWh/m³</t>
  </si>
  <si>
    <t xml:space="preserve">Mitsubishi Gerätekennwert</t>
  </si>
  <si>
    <t xml:space="preserve">Warmwasser-Heizenergie in €</t>
  </si>
  <si>
    <t xml:space="preserve">€/m³</t>
  </si>
  <si>
    <t xml:space="preserve">kWh/m³ × Strompreis</t>
  </si>
  <si>
    <t xml:space="preserve">Gebäudeversicherung UG</t>
  </si>
  <si>
    <t xml:space="preserve">Grundsteuer B (UG-Anteil)</t>
  </si>
  <si>
    <t xml:space="preserve">€/Jahr</t>
  </si>
  <si>
    <t xml:space="preserve">Grundsteuer B pro Monat</t>
  </si>
  <si>
    <t xml:space="preserve">Versiegelte Fläche Niederschlagswasser</t>
  </si>
  <si>
    <t xml:space="preserve">Renovierungspauschale Beltz (vereinbart)</t>
  </si>
  <si>
    <t xml:space="preserve">Tarife je Kalenderjahr</t>
  </si>
  <si>
    <t xml:space="preserve">Jahr</t>
  </si>
  <si>
    <t xml:space="preserve">Wassertarif inkl. Abwasser (€/m³)</t>
  </si>
  <si>
    <t xml:space="preserve">Niederschlag-Gebühr (€/m²)</t>
  </si>
  <si>
    <t xml:space="preserve">Niederschlag UG pro Monat (€)</t>
  </si>
  <si>
    <t xml:space="preserve">Fortschreibung 2025 – bei neuem Bescheid ändern</t>
  </si>
  <si>
    <t xml:space="preserve">Fortschreibung – bei neuem Bescheid ändern</t>
  </si>
  <si>
    <t xml:space="preserve">Fortschreibung</t>
  </si>
  <si>
    <t xml:space="preserve">Niederschlag pro Monat wird auf Cent gerundet, wie in der App.</t>
  </si>
  <si>
    <t xml:space="preserve">Perioden / Parteien (Eingabe)</t>
  </si>
  <si>
    <t xml:space="preserve">Stichtag-Nr. verweist auf die Spalten Stand 1–4 in 'Zählerstände'. Leerstand und Beltz teilen sich die Zählerperiode Stichtag 2→3 (Anteil = Monate / Summe der Monate).</t>
  </si>
  <si>
    <t xml:space="preserve">Mieter / Partei</t>
  </si>
  <si>
    <t xml:space="preserve">Beginn</t>
  </si>
  <si>
    <t xml:space="preserve">Ende</t>
  </si>
  <si>
    <t xml:space="preserve">Vorauszahlung €/Monat</t>
  </si>
  <si>
    <t xml:space="preserve">IST geleistet €</t>
  </si>
  <si>
    <t xml:space="preserve">Stichtag von (Nr.)</t>
  </si>
  <si>
    <t xml:space="preserve">Stichtag bis (Nr.)</t>
  </si>
  <si>
    <t xml:space="preserve">Anteil an Zählerperiode</t>
  </si>
  <si>
    <t xml:space="preserve">EnBW-Grundpreis Haus €</t>
  </si>
  <si>
    <t xml:space="preserve">Zähler von (Datum)</t>
  </si>
  <si>
    <t xml:space="preserve">Zähler bis (Datum)</t>
  </si>
  <si>
    <t xml:space="preserve">P1</t>
  </si>
  <si>
    <t xml:space="preserve">Felix Adameck</t>
  </si>
  <si>
    <t xml:space="preserve">LEER</t>
  </si>
  <si>
    <t xml:space="preserve">P2</t>
  </si>
  <si>
    <t xml:space="preserve">Fam. Kristin &amp; Maximilian Beltz</t>
  </si>
  <si>
    <t xml:space="preserve">P3</t>
  </si>
  <si>
    <t xml:space="preserve">Neuer Eigentümer (Name folgt) – Folgeperiode</t>
  </si>
  <si>
    <t xml:space="preserve">Hinweise</t>
  </si>
  <si>
    <t xml:space="preserve">P1: IST 2.545 € = tatsächlich erhaltene Vorauszahlungen (nicht 15 × 195 €).</t>
  </si>
  <si>
    <t xml:space="preserve">P2 Ende 19.06.2026 = Stichtag der Abschlussabrechnung (~11 Monate).</t>
  </si>
  <si>
    <t xml:space="preserve">P3 ist eine Platzhalter-Zeile für die Folgeperiode nach dem Eigentümerwechsel – Beginn, Ende, Monate und Zahlungen anpassen; Stichtag 4 in 'Zählerstände' eintragen.</t>
  </si>
  <si>
    <t xml:space="preserve">Maximal 24 Monate pro Periode (Monatsraster).</t>
  </si>
  <si>
    <t xml:space="preserve">Verbrauch, Heizschlüssel und COP-Plausibilität</t>
  </si>
  <si>
    <t xml:space="preserve">Alles per Formel aus 'Zählerstände' und 'Perioden'. Leere Zellen = Zählerstand fehlt noch.</t>
  </si>
  <si>
    <t xml:space="preserve">Δ WP-Strom kWh</t>
  </si>
  <si>
    <t xml:space="preserve">Δ Haushaltsstrom kWh</t>
  </si>
  <si>
    <t xml:space="preserve">Δ WMZ UG MWh</t>
  </si>
  <si>
    <t xml:space="preserve">Δ WMZ EG MWh</t>
  </si>
  <si>
    <t xml:space="preserve">Δ Kaltwasser m³</t>
  </si>
  <si>
    <t xml:space="preserve">Δ Warmwasser UG m³</t>
  </si>
  <si>
    <t xml:space="preserve">COP-Prüfung</t>
  </si>
  <si>
    <t xml:space="preserve">COP = erzeugte Wärme (WMZ UG + EG) / WP-Strom. Üblich: 2 bis 5. Ein Wert außerhalb 1,5–6 deutet auf einen Ablese- oder Registerfehler hin (Beispiel März 2026: COP 0,62 bzw. 7,94).</t>
  </si>
  <si>
    <t xml:space="preserve">Nebenkostenabrechnung – Felix Adameck (Periode 1)</t>
  </si>
  <si>
    <t xml:space="preserve">Teinacher Str. 4, 75387 Neubulach</t>
  </si>
  <si>
    <t xml:space="preserve">Position</t>
  </si>
  <si>
    <t xml:space="preserve">Berechnung</t>
  </si>
  <si>
    <t xml:space="preserve">Betrag</t>
  </si>
  <si>
    <t xml:space="preserve">Heizkosten Wärmepumpe</t>
  </si>
  <si>
    <t xml:space="preserve">WP-kWh × Anteil × Heizschlüssel × Strompreis</t>
  </si>
  <si>
    <t xml:space="preserve">Warmwasser-Heizenergie</t>
  </si>
  <si>
    <t xml:space="preserve">Warmwasser-m³ × 20,9 kWh/m³ × Strompreis</t>
  </si>
  <si>
    <t xml:space="preserve">Haushaltsstrom UV</t>
  </si>
  <si>
    <t xml:space="preserve">UV-kWh × Anteil × Strompreis</t>
  </si>
  <si>
    <t xml:space="preserve">Stromgrundpreis (UG-Anteil)</t>
  </si>
  <si>
    <t xml:space="preserve">EnBW-Grundpreis P1 × UG-Anteil</t>
  </si>
  <si>
    <t xml:space="preserve">(Kalt- + Warmwasser-m³ ÷ Monate) × Summe Monatstarife des Jahres</t>
  </si>
  <si>
    <t xml:space="preserve">wie oben, Folgejahr</t>
  </si>
  <si>
    <t xml:space="preserve">Gebäudeversicherung</t>
  </si>
  <si>
    <t xml:space="preserve">24,18 €/Monat × Monate</t>
  </si>
  <si>
    <t xml:space="preserve">Grundsteuer B</t>
  </si>
  <si>
    <t xml:space="preserve">Grundsteuer/Monat × Monate</t>
  </si>
  <si>
    <t xml:space="preserve">Monatssatz × Monate des Jahres</t>
  </si>
  <si>
    <t xml:space="preserve">Nebenkosten netto</t>
  </si>
  <si>
    <t xml:space="preserve">Gesamtforderung (SOLL)</t>
  </si>
  <si>
    <t xml:space="preserve">Geleistete Zahlungen (IST)</t>
  </si>
  <si>
    <t xml:space="preserve">Frist §556 Abs. 3 BGB: 30.04.2026 (bereits abgelaufen).</t>
  </si>
  <si>
    <t xml:space="preserve">Leerstandsabrechnung – von Thomas Weis zu tragen</t>
  </si>
  <si>
    <t xml:space="preserve">WP-Strom fiktiv (Heizung)</t>
  </si>
  <si>
    <t xml:space="preserve">WP-kWh × Anteil 3/14 × Heizschlüssel × Strompreis</t>
  </si>
  <si>
    <t xml:space="preserve">Haushaltsstrom UV fiktiv</t>
  </si>
  <si>
    <t xml:space="preserve">UV-kWh × Anteil 3/14 × Strompreis</t>
  </si>
  <si>
    <t xml:space="preserve">Monatssatz × Monate × UG-Anteil</t>
  </si>
  <si>
    <t xml:space="preserve">Niederschlagswasser</t>
  </si>
  <si>
    <t xml:space="preserve">Monatssatz × Monate</t>
  </si>
  <si>
    <t xml:space="preserve">Von Thomas zu tragen (SOLL)</t>
  </si>
  <si>
    <t xml:space="preserve">Abschlussabrechnung – Fam. Beltz (Periode 2)</t>
  </si>
  <si>
    <t xml:space="preserve">WP-kWh × Anteil 11/14 × Heizschlüssel × Strompreis</t>
  </si>
  <si>
    <t xml:space="preserve">UV-kWh × Anteil 11/14 × Strompreis</t>
  </si>
  <si>
    <t xml:space="preserve">Wasser/Abwasser</t>
  </si>
  <si>
    <t xml:space="preserve">(Kalt- + Warmwasser-m³ ÷ Monate) × Summe Monatstarife</t>
  </si>
  <si>
    <t xml:space="preserve">Renovierung (vereinbart)</t>
  </si>
  <si>
    <t xml:space="preserve">Abrechnung Folgeperiode – nach Eigentümerwechsel und Teilung des Wasseranschlusses</t>
  </si>
  <si>
    <t xml:space="preserve">Der Hauptwasseranschluss wurde geteilt: über Christine laufen nur noch Heizung (Wärmepumpe) und Warmwasser. Schalter: 1 = wird über Christine abgerechnet, 0 = nicht.</t>
  </si>
  <si>
    <t xml:space="preserve">Kaltwasser/Abwasser (eigener Anschluss → 0)</t>
  </si>
  <si>
    <t xml:space="preserve">WP-kWh × Heizschlüssel × Strompreis (immer)</t>
  </si>
  <si>
    <t xml:space="preserve">Warmwasser-m³ × 20,9 kWh/m³ × Strompreis (immer)</t>
  </si>
  <si>
    <t xml:space="preserve">Wasser/Abwasser für Warmwasser-Volumen</t>
  </si>
  <si>
    <t xml:space="preserve">Warmwasser kommt vom Anschluss bei Christine (immer)</t>
  </si>
  <si>
    <t xml:space="preserve">Kaltwasser/Abwasser</t>
  </si>
  <si>
    <t xml:space="preserve">nur wenn Schalter = 1</t>
  </si>
  <si>
    <t xml:space="preserve">Annahme: Das Warmwasser-Volumen (m³) wird weiter über Christines Anschluss bezogen und daher mit dem Wasser-/Abwassertarif belastet. Bitte bestätigen.</t>
  </si>
  <si>
    <t xml:space="preserve">Eigentümer-interne Abrechnung (Zwischenstand)</t>
  </si>
  <si>
    <t xml:space="preserve">Logik wie in der App. Vorläufig – siehe offene Punkte unten.</t>
  </si>
  <si>
    <t xml:space="preserve">Partei 1 (neuer Eigentümer)</t>
  </si>
  <si>
    <t xml:space="preserve">Neuer Eigentümer (Name folgt)</t>
  </si>
  <si>
    <t xml:space="preserve">Partei 2</t>
  </si>
  <si>
    <t xml:space="preserve">Christine Weis</t>
  </si>
  <si>
    <t xml:space="preserve">Zahlung an Christine pro Monat – Periode 1 (€)</t>
  </si>
  <si>
    <t xml:space="preserve">Zahlung an Christine pro Monat – Periode 2 (€) – OFFEN: 195 oder 240?</t>
  </si>
  <si>
    <t xml:space="preserve">Sonderzahlungen</t>
  </si>
  <si>
    <t xml:space="preserve">Sonderzahlung 1</t>
  </si>
  <si>
    <t xml:space="preserve">Sonderzahlung 2</t>
  </si>
  <si>
    <t xml:space="preserve">Sonderzahlung 3</t>
  </si>
  <si>
    <t xml:space="preserve">Sonderzahlung 4</t>
  </si>
  <si>
    <t xml:space="preserve">Summe Sonderzahlungen</t>
  </si>
  <si>
    <t xml:space="preserve">Saldo aus früherer Abrechnung (bezahlt 03/2026)</t>
  </si>
  <si>
    <t xml:space="preserve">P1 Felix – Differenz SOLL − Vorauszahlungen</t>
  </si>
  <si>
    <t xml:space="preserve">Leerstand – von Thomas getragen</t>
  </si>
  <si>
    <t xml:space="preserve">P2 Beltz – Differenz SOLL − Vorauszahlungen</t>
  </si>
  <si>
    <t xml:space="preserve">Zwischensumme Kosten</t>
  </si>
  <si>
    <t xml:space="preserve">Saldo aus früherer Abrechnung</t>
  </si>
  <si>
    <t xml:space="preserve">Zwischensaldo</t>
  </si>
  <si>
    <t xml:space="preserve">Kulanz Warmwasser EG (von Thomas erlassen)</t>
  </si>
  <si>
    <t xml:space="preserve">Warmwasser EG gesamt (m³)</t>
  </si>
  <si>
    <t xml:space="preserve">Wert (erlassen)</t>
  </si>
  <si>
    <t xml:space="preserve">Zahlung an Christine pro Monat in der Folgeperiode (€)</t>
  </si>
  <si>
    <t xml:space="preserve">SOLL Folgeperiode (Heizung + Warmwasser etc.)</t>
  </si>
  <si>
    <t xml:space="preserve">Saldo Folgeperiode (SOLL − gezahlt)</t>
  </si>
  <si>
    <t xml:space="preserve">Offene Punkte</t>
  </si>
  <si>
    <t xml:space="preserve">• Ab welchem Monat zahlt Thomas 240 €/Mon statt 195 €/Mon?</t>
  </si>
  <si>
    <t xml:space="preserve">• Beltz-Vorauszahlung im Zwischenstand mit 195 €/Mon angesetzt (B8).</t>
  </si>
  <si>
    <t xml:space="preserve">• Finale EnBW-Jahresrechnung 2025/26 zur Grundpreis-Verifizierung steht aus.</t>
  </si>
  <si>
    <t xml:space="preserve">• Datum der Teilung des Hauptwasseranschlusses klären – betrifft ggf. das Ende der Beltz-Periode.</t>
  </si>
  <si>
    <t xml:space="preserve">Hilfstabelle: Monate je Periode und Tarif des jeweiligen Kalenderjahres</t>
  </si>
  <si>
    <t xml:space="preserve">Nur Hilfsrechnung – nichts eintragen. Verteilt Wasser- und Niederschlagskosten monatsgenau auf die Kalenderjahre.</t>
  </si>
  <si>
    <t xml:space="preserve">Periode</t>
  </si>
  <si>
    <t xml:space="preserve">Monat Nr.</t>
  </si>
  <si>
    <t xml:space="preserve">Monat</t>
  </si>
  <si>
    <t xml:space="preserve">Wassertarif €/m³</t>
  </si>
  <si>
    <t xml:space="preserve">Niederschlag €/Monat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</si>
</sst>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&quot; €&quot;"/>
    <numFmt numFmtId="166" formatCode="0.00%"/>
    <numFmt numFmtId="167" formatCode="0.00"/>
    <numFmt numFmtId="168" formatCode="dd\.mm\.yyyy"/>
    <numFmt numFmtId="169" formatCode="#,##0.000"/>
    <numFmt numFmtId="170" formatCode="0.0000"/>
    <numFmt numFmtId="171" formatCode="0"/>
    <numFmt numFmtId="172" formatCode="0.0"/>
    <numFmt numFmtId="173" formatCode="0.00000"/>
    <numFmt numFmtId="174" formatCode="mm\.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99"/>
        <bgColor rgb="FFCCFFCC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23.8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</row>
    <row r="4" customFormat="false" ht="31.5" hidden="false" customHeight="true" outlineLevel="0" collapsed="false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</row>
    <row r="5" customFormat="false" ht="15" hidden="false" customHeight="false" outlineLevel="0" collapsed="false">
      <c r="A5" s="6" t="s">
        <v>34</v>
      </c>
      <c r="B5" s="7" t="n">
        <f aca="false">Abr_P1_Felix!C22</f>
        <v>3262.67</v>
      </c>
      <c r="C5" s="7" t="n">
        <f aca="false">Abr_P1_Felix!C23</f>
        <v>2545</v>
      </c>
      <c r="D5" s="7" t="n">
        <f aca="false">Abr_P1_Felix!C24</f>
        <v>717.67</v>
      </c>
      <c r="E5" s="8" t="n">
        <v>3262.66</v>
      </c>
      <c r="F5" s="9" t="n">
        <f aca="false">B5-E5</f>
        <v>0.0100000000002183</v>
      </c>
      <c r="G5" s="6" t="str">
        <f aca="false">IF(ABS(F5)&lt;=0.02,"stimmt überein","weicht ab")</f>
        <v>stimmt überein</v>
      </c>
    </row>
    <row r="6" customFormat="false" ht="15" hidden="false" customHeight="false" outlineLevel="0" collapsed="false">
      <c r="A6" s="6" t="s">
        <v>35</v>
      </c>
      <c r="B6" s="7" t="n">
        <f aca="false">Abr_Leerstand!C17</f>
        <v>706.81</v>
      </c>
      <c r="C6" s="9" t="n">
        <v>0</v>
      </c>
      <c r="D6" s="7" t="n">
        <f aca="false">Abr_Leerstand!C17</f>
        <v>706.81</v>
      </c>
      <c r="E6" s="8" t="n">
        <v>706.81</v>
      </c>
      <c r="F6" s="9" t="n">
        <f aca="false">B6-E6</f>
        <v>0</v>
      </c>
      <c r="G6" s="6" t="str">
        <f aca="false">IF(ABS(F6)&lt;=0.02,"stimmt überein","weicht ab")</f>
        <v>stimmt überein</v>
      </c>
    </row>
    <row r="7" customFormat="false" ht="15" hidden="false" customHeight="false" outlineLevel="0" collapsed="false">
      <c r="A7" s="6" t="s">
        <v>36</v>
      </c>
      <c r="B7" s="7" t="n">
        <f aca="false">Abr_P2_Beltz!C21</f>
        <v>3110.31</v>
      </c>
      <c r="C7" s="7" t="n">
        <f aca="false">Abr_P2_Beltz!C22</f>
        <v>2585</v>
      </c>
      <c r="D7" s="7" t="n">
        <f aca="false">Abr_P2_Beltz!C23</f>
        <v>525.31</v>
      </c>
      <c r="E7" s="8" t="n">
        <v>3110.31</v>
      </c>
      <c r="F7" s="9" t="n">
        <f aca="false">B7-E7</f>
        <v>0</v>
      </c>
      <c r="G7" s="6" t="str">
        <f aca="false">IF(ABS(F7)&lt;=0.02,"stimmt überein","weicht ab")</f>
        <v>stimmt überein</v>
      </c>
    </row>
    <row r="8" customFormat="false" ht="15" hidden="false" customHeight="false" outlineLevel="0" collapsed="false">
      <c r="A8" s="6" t="s">
        <v>37</v>
      </c>
      <c r="B8" s="7" t="n">
        <f aca="false">Eigentümer!B30</f>
        <v>584.27</v>
      </c>
      <c r="C8" s="9"/>
      <c r="D8" s="7"/>
      <c r="E8" s="8" t="n">
        <v>584.27</v>
      </c>
      <c r="F8" s="9" t="n">
        <f aca="false">B8-E8</f>
        <v>0</v>
      </c>
      <c r="G8" s="6" t="str">
        <f aca="false">IF(ABS(F8)&lt;=0.02,"stimmt überein","weicht ab")</f>
        <v>stimmt überein</v>
      </c>
    </row>
    <row r="9" customFormat="false" ht="15" hidden="false" customHeight="false" outlineLevel="0" collapsed="false">
      <c r="A9" s="6" t="s">
        <v>38</v>
      </c>
      <c r="B9" s="7" t="str">
        <f aca="false">Abr_Folgeperiode!C28</f>
        <v/>
      </c>
      <c r="C9" s="7" t="n">
        <f aca="false">Abr_Folgeperiode!C29</f>
        <v>0</v>
      </c>
      <c r="D9" s="7" t="str">
        <f aca="false">Abr_Folgeperiode!C30</f>
        <v>Stand 4 fehlt</v>
      </c>
      <c r="G9" s="6" t="s">
        <v>39</v>
      </c>
    </row>
    <row r="11" customFormat="false" ht="15" hidden="false" customHeight="false" outlineLevel="0" collapsed="false">
      <c r="A11" s="4" t="s">
        <v>40</v>
      </c>
    </row>
    <row r="12" customFormat="false" ht="15" hidden="false" customHeight="false" outlineLevel="0" collapsed="false">
      <c r="A12" s="4" t="s">
        <v>41</v>
      </c>
    </row>
    <row r="14" customFormat="false" ht="15" hidden="false" customHeight="false" outlineLevel="0" collapsed="false">
      <c r="A14" s="10" t="s">
        <v>42</v>
      </c>
      <c r="B14" s="10" t="s">
        <v>43</v>
      </c>
      <c r="C14" s="10" t="s">
        <v>44</v>
      </c>
      <c r="D14" s="10" t="s">
        <v>33</v>
      </c>
    </row>
    <row r="15" customFormat="false" ht="15" hidden="false" customHeight="false" outlineLevel="0" collapsed="false">
      <c r="A15" s="6" t="s">
        <v>45</v>
      </c>
      <c r="B15" s="11" t="n">
        <f aca="false">Berechnung!I6</f>
        <v>0.465954606141522</v>
      </c>
      <c r="C15" s="12" t="n">
        <f aca="false">Berechnung!J6</f>
        <v>3.29757801919904</v>
      </c>
      <c r="D15" s="13" t="str">
        <f aca="false">Berechnung!K6</f>
        <v>plausibel</v>
      </c>
    </row>
    <row r="16" customFormat="false" ht="15" hidden="false" customHeight="false" outlineLevel="0" collapsed="false">
      <c r="A16" s="6" t="s">
        <v>46</v>
      </c>
      <c r="B16" s="11" t="n">
        <f aca="false">Berechnung!I8</f>
        <v>0.688883278633342</v>
      </c>
      <c r="C16" s="12" t="n">
        <f aca="false">Berechnung!J8</f>
        <v>2.08381557627154</v>
      </c>
      <c r="D16" s="13" t="str">
        <f aca="false">Berechnung!K8</f>
        <v>plausibel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4" t="s">
        <v>48</v>
      </c>
    </row>
    <row r="3" customFormat="false" ht="42" hidden="false" customHeight="true" outlineLevel="0" collapsed="false">
      <c r="E3" s="5" t="s">
        <v>49</v>
      </c>
      <c r="F3" s="5" t="s">
        <v>50</v>
      </c>
      <c r="G3" s="5" t="s">
        <v>51</v>
      </c>
      <c r="H3" s="5" t="s">
        <v>52</v>
      </c>
    </row>
    <row r="4" customFormat="false" ht="15" hidden="false" customHeight="false" outlineLevel="0" collapsed="false">
      <c r="A4" s="10" t="s">
        <v>53</v>
      </c>
      <c r="E4" s="14" t="n">
        <v>45323</v>
      </c>
      <c r="F4" s="14" t="n">
        <v>45778</v>
      </c>
      <c r="G4" s="14" t="n">
        <v>46192</v>
      </c>
      <c r="H4" s="14"/>
    </row>
    <row r="5" customFormat="false" ht="31.5" hidden="false" customHeight="true" outlineLevel="0" collapsed="false">
      <c r="A5" s="5" t="s">
        <v>54</v>
      </c>
      <c r="B5" s="5" t="s">
        <v>55</v>
      </c>
      <c r="C5" s="5" t="s">
        <v>56</v>
      </c>
      <c r="D5" s="5" t="s">
        <v>57</v>
      </c>
      <c r="E5" s="5" t="s">
        <v>58</v>
      </c>
      <c r="F5" s="5" t="s">
        <v>59</v>
      </c>
      <c r="G5" s="5" t="s">
        <v>60</v>
      </c>
      <c r="H5" s="5" t="s">
        <v>61</v>
      </c>
      <c r="I5" s="5" t="s">
        <v>62</v>
      </c>
    </row>
    <row r="6" customFormat="false" ht="15" hidden="false" customHeight="false" outlineLevel="0" collapsed="false">
      <c r="A6" s="6" t="s">
        <v>63</v>
      </c>
      <c r="B6" s="6" t="s">
        <v>64</v>
      </c>
      <c r="C6" s="6" t="s">
        <v>65</v>
      </c>
      <c r="D6" s="6" t="s">
        <v>66</v>
      </c>
      <c r="E6" s="15" t="n">
        <v>17705.44</v>
      </c>
      <c r="F6" s="15" t="n">
        <v>29062.26</v>
      </c>
      <c r="G6" s="15" t="n">
        <v>40467.3</v>
      </c>
      <c r="H6" s="15"/>
      <c r="I6" s="4"/>
    </row>
    <row r="7" customFormat="false" ht="15" hidden="false" customHeight="false" outlineLevel="0" collapsed="false">
      <c r="A7" s="6" t="s">
        <v>67</v>
      </c>
      <c r="B7" s="6" t="s">
        <v>68</v>
      </c>
      <c r="C7" s="6" t="s">
        <v>69</v>
      </c>
      <c r="D7" s="6" t="s">
        <v>66</v>
      </c>
      <c r="E7" s="15" t="n">
        <v>3396.16</v>
      </c>
      <c r="F7" s="15" t="n">
        <v>5480.9</v>
      </c>
      <c r="G7" s="15" t="n">
        <v>7599.68</v>
      </c>
      <c r="H7" s="15"/>
      <c r="I7" s="4"/>
    </row>
    <row r="8" customFormat="false" ht="15" hidden="false" customHeight="false" outlineLevel="0" collapsed="false">
      <c r="A8" s="6" t="s">
        <v>70</v>
      </c>
      <c r="B8" s="6" t="s">
        <v>71</v>
      </c>
      <c r="C8" s="6" t="s">
        <v>72</v>
      </c>
      <c r="D8" s="6" t="s">
        <v>73</v>
      </c>
      <c r="E8" s="15" t="n">
        <v>32.5</v>
      </c>
      <c r="F8" s="15" t="n">
        <v>49.95</v>
      </c>
      <c r="G8" s="15" t="n">
        <v>66.322</v>
      </c>
      <c r="H8" s="15"/>
      <c r="I8" s="4" t="s">
        <v>74</v>
      </c>
    </row>
    <row r="9" customFormat="false" ht="15" hidden="false" customHeight="false" outlineLevel="0" collapsed="false">
      <c r="A9" s="6" t="s">
        <v>75</v>
      </c>
      <c r="B9" s="6" t="s">
        <v>76</v>
      </c>
      <c r="C9" s="6" t="s">
        <v>77</v>
      </c>
      <c r="D9" s="6" t="s">
        <v>73</v>
      </c>
      <c r="E9" s="15" t="n">
        <v>33</v>
      </c>
      <c r="F9" s="15" t="n">
        <v>53</v>
      </c>
      <c r="G9" s="15" t="n">
        <v>60.394</v>
      </c>
      <c r="H9" s="15"/>
      <c r="I9" s="4"/>
    </row>
    <row r="10" customFormat="false" ht="15" hidden="false" customHeight="false" outlineLevel="0" collapsed="false">
      <c r="A10" s="6" t="s">
        <v>78</v>
      </c>
      <c r="B10" s="6" t="s">
        <v>79</v>
      </c>
      <c r="C10" s="6" t="s">
        <v>80</v>
      </c>
      <c r="D10" s="6" t="s">
        <v>81</v>
      </c>
      <c r="E10" s="15" t="n">
        <v>61.904</v>
      </c>
      <c r="F10" s="15" t="n">
        <v>107.81</v>
      </c>
      <c r="G10" s="15" t="n">
        <v>149.138</v>
      </c>
      <c r="H10" s="15"/>
      <c r="I10" s="4"/>
    </row>
    <row r="11" customFormat="false" ht="15" hidden="false" customHeight="false" outlineLevel="0" collapsed="false">
      <c r="A11" s="6" t="s">
        <v>82</v>
      </c>
      <c r="B11" s="6" t="s">
        <v>83</v>
      </c>
      <c r="C11" s="6" t="s">
        <v>84</v>
      </c>
      <c r="D11" s="6" t="s">
        <v>81</v>
      </c>
      <c r="E11" s="15" t="n">
        <v>35.021</v>
      </c>
      <c r="F11" s="15" t="n">
        <v>53.07</v>
      </c>
      <c r="G11" s="15" t="n">
        <v>63.495</v>
      </c>
      <c r="H11" s="15"/>
      <c r="I11" s="4"/>
    </row>
    <row r="12" customFormat="false" ht="15" hidden="false" customHeight="false" outlineLevel="0" collapsed="false">
      <c r="A12" s="6" t="s">
        <v>85</v>
      </c>
      <c r="B12" s="6" t="s">
        <v>86</v>
      </c>
      <c r="C12" s="6" t="s">
        <v>87</v>
      </c>
      <c r="D12" s="6" t="s">
        <v>81</v>
      </c>
      <c r="E12" s="15" t="n">
        <v>6.569</v>
      </c>
      <c r="F12" s="15"/>
      <c r="G12" s="15" t="n">
        <v>120.116</v>
      </c>
      <c r="H12" s="15"/>
      <c r="I12" s="4" t="s">
        <v>88</v>
      </c>
    </row>
    <row r="14" customFormat="false" ht="15" hidden="false" customHeight="false" outlineLevel="0" collapsed="false">
      <c r="A14" s="4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62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90</v>
      </c>
    </row>
    <row r="3" customFormat="false" ht="31.5" hidden="false" customHeight="true" outlineLevel="0" collapsed="false">
      <c r="A3" s="5" t="s">
        <v>91</v>
      </c>
      <c r="B3" s="5" t="s">
        <v>92</v>
      </c>
      <c r="C3" s="5" t="s">
        <v>57</v>
      </c>
      <c r="D3" s="5" t="s">
        <v>93</v>
      </c>
    </row>
    <row r="4" customFormat="false" ht="15" hidden="false" customHeight="false" outlineLevel="0" collapsed="false">
      <c r="A4" s="6" t="s">
        <v>94</v>
      </c>
      <c r="B4" s="16" t="n">
        <v>0.2462</v>
      </c>
      <c r="C4" s="6" t="s">
        <v>95</v>
      </c>
      <c r="D4" s="4" t="s">
        <v>96</v>
      </c>
    </row>
    <row r="5" customFormat="false" ht="15" hidden="false" customHeight="false" outlineLevel="0" collapsed="false">
      <c r="A5" s="6" t="s">
        <v>97</v>
      </c>
      <c r="B5" s="17" t="n">
        <v>88</v>
      </c>
      <c r="C5" s="6" t="s">
        <v>98</v>
      </c>
      <c r="D5" s="4"/>
    </row>
    <row r="6" customFormat="false" ht="15" hidden="false" customHeight="false" outlineLevel="0" collapsed="false">
      <c r="A6" s="6" t="s">
        <v>99</v>
      </c>
      <c r="B6" s="17" t="n">
        <v>270</v>
      </c>
      <c r="C6" s="6" t="s">
        <v>98</v>
      </c>
      <c r="D6" s="4" t="s">
        <v>100</v>
      </c>
    </row>
    <row r="7" customFormat="false" ht="15" hidden="false" customHeight="false" outlineLevel="0" collapsed="false">
      <c r="A7" s="6" t="s">
        <v>101</v>
      </c>
      <c r="B7" s="18" t="n">
        <f aca="false">B5/B6</f>
        <v>0.325925925925926</v>
      </c>
      <c r="C7" s="6"/>
      <c r="D7" s="4" t="s">
        <v>102</v>
      </c>
    </row>
    <row r="8" customFormat="false" ht="15" hidden="false" customHeight="false" outlineLevel="0" collapsed="false">
      <c r="A8" s="6" t="s">
        <v>103</v>
      </c>
      <c r="B8" s="8" t="n">
        <v>563.11</v>
      </c>
      <c r="C8" s="6" t="s">
        <v>104</v>
      </c>
      <c r="D8" s="4"/>
    </row>
    <row r="9" customFormat="false" ht="15" hidden="false" customHeight="false" outlineLevel="0" collapsed="false">
      <c r="A9" s="6" t="s">
        <v>105</v>
      </c>
      <c r="B9" s="8" t="n">
        <v>375.41</v>
      </c>
      <c r="C9" s="6" t="s">
        <v>104</v>
      </c>
      <c r="D9" s="4" t="s">
        <v>106</v>
      </c>
    </row>
    <row r="10" customFormat="false" ht="15" hidden="false" customHeight="false" outlineLevel="0" collapsed="false">
      <c r="A10" s="6" t="s">
        <v>107</v>
      </c>
      <c r="B10" s="17" t="n">
        <v>8</v>
      </c>
      <c r="C10" s="6" t="s">
        <v>108</v>
      </c>
      <c r="D10" s="4"/>
    </row>
    <row r="11" customFormat="false" ht="15" hidden="false" customHeight="false" outlineLevel="0" collapsed="false">
      <c r="A11" s="6" t="s">
        <v>109</v>
      </c>
      <c r="B11" s="9" t="n">
        <f aca="false">B9/B10</f>
        <v>46.92625</v>
      </c>
      <c r="C11" s="6" t="s">
        <v>110</v>
      </c>
      <c r="D11" s="4"/>
    </row>
    <row r="12" customFormat="false" ht="15" hidden="false" customHeight="false" outlineLevel="0" collapsed="false">
      <c r="A12" s="6" t="s">
        <v>111</v>
      </c>
      <c r="B12" s="19" t="n">
        <v>20.9</v>
      </c>
      <c r="C12" s="6" t="s">
        <v>112</v>
      </c>
      <c r="D12" s="4" t="s">
        <v>113</v>
      </c>
    </row>
    <row r="13" customFormat="false" ht="15" hidden="false" customHeight="false" outlineLevel="0" collapsed="false">
      <c r="A13" s="6" t="s">
        <v>114</v>
      </c>
      <c r="B13" s="20" t="n">
        <f aca="false">B12*B4</f>
        <v>5.14558</v>
      </c>
      <c r="C13" s="6" t="s">
        <v>115</v>
      </c>
      <c r="D13" s="4" t="s">
        <v>116</v>
      </c>
    </row>
    <row r="14" customFormat="false" ht="15" hidden="false" customHeight="false" outlineLevel="0" collapsed="false">
      <c r="A14" s="6" t="s">
        <v>117</v>
      </c>
      <c r="B14" s="8" t="n">
        <v>24.18</v>
      </c>
      <c r="C14" s="6" t="s">
        <v>110</v>
      </c>
      <c r="D14" s="4"/>
    </row>
    <row r="15" customFormat="false" ht="15" hidden="false" customHeight="false" outlineLevel="0" collapsed="false">
      <c r="A15" s="6" t="s">
        <v>118</v>
      </c>
      <c r="B15" s="8" t="n">
        <v>188.78</v>
      </c>
      <c r="C15" s="6" t="s">
        <v>119</v>
      </c>
      <c r="D15" s="4"/>
    </row>
    <row r="16" customFormat="false" ht="15" hidden="false" customHeight="false" outlineLevel="0" collapsed="false">
      <c r="A16" s="6" t="s">
        <v>120</v>
      </c>
      <c r="B16" s="9" t="n">
        <f aca="false">B15/12</f>
        <v>15.7316666666667</v>
      </c>
      <c r="C16" s="6" t="s">
        <v>110</v>
      </c>
      <c r="D16" s="4"/>
    </row>
    <row r="17" customFormat="false" ht="15" hidden="false" customHeight="false" outlineLevel="0" collapsed="false">
      <c r="A17" s="6" t="s">
        <v>121</v>
      </c>
      <c r="B17" s="17" t="n">
        <v>226</v>
      </c>
      <c r="C17" s="6" t="s">
        <v>98</v>
      </c>
      <c r="D17" s="4"/>
    </row>
    <row r="18" customFormat="false" ht="15" hidden="false" customHeight="false" outlineLevel="0" collapsed="false">
      <c r="A18" s="6" t="s">
        <v>122</v>
      </c>
      <c r="B18" s="8" t="n">
        <v>80</v>
      </c>
      <c r="C18" s="6" t="s">
        <v>104</v>
      </c>
      <c r="D18" s="4"/>
    </row>
    <row r="19" customFormat="false" ht="15" hidden="false" customHeight="false" outlineLevel="0" collapsed="false">
      <c r="A19" s="10" t="s">
        <v>123</v>
      </c>
    </row>
    <row r="20" customFormat="false" ht="31.5" hidden="false" customHeight="true" outlineLevel="0" collapsed="false">
      <c r="A20" s="5" t="s">
        <v>124</v>
      </c>
      <c r="B20" s="5" t="s">
        <v>125</v>
      </c>
      <c r="C20" s="5" t="s">
        <v>126</v>
      </c>
      <c r="D20" s="5" t="s">
        <v>127</v>
      </c>
      <c r="E20" s="5" t="s">
        <v>62</v>
      </c>
    </row>
    <row r="21" customFormat="false" ht="15" hidden="false" customHeight="false" outlineLevel="0" collapsed="false">
      <c r="A21" s="17" t="n">
        <v>2024</v>
      </c>
      <c r="B21" s="21" t="n">
        <v>7.63</v>
      </c>
      <c r="C21" s="21" t="n">
        <v>0.99</v>
      </c>
      <c r="D21" s="22" t="n">
        <f aca="false">ROUND($B$17*C21/12*$B$7,2)</f>
        <v>6.08</v>
      </c>
      <c r="E21" s="4"/>
    </row>
    <row r="22" customFormat="false" ht="15" hidden="false" customHeight="false" outlineLevel="0" collapsed="false">
      <c r="A22" s="17" t="n">
        <v>2025</v>
      </c>
      <c r="B22" s="21" t="n">
        <v>7.44</v>
      </c>
      <c r="C22" s="21" t="n">
        <v>0.81</v>
      </c>
      <c r="D22" s="22" t="n">
        <f aca="false">ROUND($B$17*C22/12*$B$7,2)</f>
        <v>4.97</v>
      </c>
      <c r="E22" s="4"/>
    </row>
    <row r="23" customFormat="false" ht="15" hidden="false" customHeight="false" outlineLevel="0" collapsed="false">
      <c r="A23" s="17" t="n">
        <v>2026</v>
      </c>
      <c r="B23" s="21" t="n">
        <v>7.44</v>
      </c>
      <c r="C23" s="21" t="n">
        <v>0.81</v>
      </c>
      <c r="D23" s="22" t="n">
        <f aca="false">ROUND($B$17*C23/12*$B$7,2)</f>
        <v>4.97</v>
      </c>
      <c r="E23" s="4" t="s">
        <v>128</v>
      </c>
    </row>
    <row r="24" customFormat="false" ht="15" hidden="false" customHeight="false" outlineLevel="0" collapsed="false">
      <c r="A24" s="17" t="n">
        <v>2027</v>
      </c>
      <c r="B24" s="21" t="n">
        <v>7.44</v>
      </c>
      <c r="C24" s="21" t="n">
        <v>0.81</v>
      </c>
      <c r="D24" s="22" t="n">
        <f aca="false">ROUND($B$17*C24/12*$B$7,2)</f>
        <v>4.97</v>
      </c>
      <c r="E24" s="4" t="s">
        <v>129</v>
      </c>
    </row>
    <row r="25" customFormat="false" ht="15" hidden="false" customHeight="false" outlineLevel="0" collapsed="false">
      <c r="A25" s="17" t="n">
        <v>2028</v>
      </c>
      <c r="B25" s="21" t="n">
        <v>7.44</v>
      </c>
      <c r="C25" s="21" t="n">
        <v>0.81</v>
      </c>
      <c r="D25" s="22" t="n">
        <f aca="false">ROUND($B$17*C25/12*$B$7,2)</f>
        <v>4.97</v>
      </c>
      <c r="E25" s="4" t="s">
        <v>130</v>
      </c>
    </row>
    <row r="26" customFormat="false" ht="15" hidden="false" customHeight="false" outlineLevel="0" collapsed="false">
      <c r="A26" s="17" t="n">
        <v>2029</v>
      </c>
      <c r="B26" s="21" t="n">
        <v>7.44</v>
      </c>
      <c r="C26" s="21" t="n">
        <v>0.81</v>
      </c>
      <c r="D26" s="22" t="n">
        <f aca="false">ROUND($B$17*C26/12*$B$7,2)</f>
        <v>4.97</v>
      </c>
      <c r="E26" s="4" t="s">
        <v>130</v>
      </c>
    </row>
    <row r="27" customFormat="false" ht="15" hidden="false" customHeight="false" outlineLevel="0" collapsed="false">
      <c r="A27" s="17" t="n">
        <v>2030</v>
      </c>
      <c r="B27" s="21" t="n">
        <v>7.44</v>
      </c>
      <c r="C27" s="21" t="n">
        <v>0.81</v>
      </c>
      <c r="D27" s="22" t="n">
        <f aca="false">ROUND($B$17*C27/12*$B$7,2)</f>
        <v>4.97</v>
      </c>
      <c r="E27" s="4" t="s">
        <v>130</v>
      </c>
    </row>
    <row r="29" customFormat="false" ht="15" hidden="false" customHeight="false" outlineLevel="0" collapsed="false">
      <c r="A29" s="4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7" min="6" style="0" width="16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3" min="12" style="0" width="15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4" t="s">
        <v>133</v>
      </c>
    </row>
    <row r="5" customFormat="false" ht="31.5" hidden="false" customHeight="true" outlineLevel="0" collapsed="false">
      <c r="A5" s="5" t="s">
        <v>54</v>
      </c>
      <c r="B5" s="5" t="s">
        <v>134</v>
      </c>
      <c r="C5" s="5" t="s">
        <v>135</v>
      </c>
      <c r="D5" s="5" t="s">
        <v>136</v>
      </c>
      <c r="E5" s="5" t="s">
        <v>108</v>
      </c>
      <c r="F5" s="5" t="s">
        <v>137</v>
      </c>
      <c r="G5" s="5" t="s">
        <v>138</v>
      </c>
      <c r="H5" s="5" t="s">
        <v>139</v>
      </c>
      <c r="I5" s="5" t="s">
        <v>140</v>
      </c>
      <c r="J5" s="5" t="s">
        <v>141</v>
      </c>
      <c r="K5" s="5" t="s">
        <v>142</v>
      </c>
      <c r="L5" s="5" t="s">
        <v>143</v>
      </c>
      <c r="M5" s="5" t="s">
        <v>144</v>
      </c>
    </row>
    <row r="6" customFormat="false" ht="15" hidden="false" customHeight="false" outlineLevel="0" collapsed="false">
      <c r="A6" s="6" t="s">
        <v>145</v>
      </c>
      <c r="B6" s="23" t="s">
        <v>146</v>
      </c>
      <c r="C6" s="14" t="n">
        <v>45323</v>
      </c>
      <c r="D6" s="14" t="n">
        <v>45777</v>
      </c>
      <c r="E6" s="17" t="n">
        <v>15</v>
      </c>
      <c r="F6" s="8" t="n">
        <v>195</v>
      </c>
      <c r="G6" s="8" t="n">
        <v>2545</v>
      </c>
      <c r="H6" s="17" t="n">
        <v>1</v>
      </c>
      <c r="I6" s="17" t="n">
        <v>2</v>
      </c>
      <c r="J6" s="16" t="n">
        <v>1</v>
      </c>
      <c r="K6" s="7" t="n">
        <f aca="false">Kosten!B8</f>
        <v>563.11</v>
      </c>
      <c r="L6" s="24" t="n">
        <f aca="false">INDEX(Zählerstände!$E$4:$H$4,H6)</f>
        <v>45323</v>
      </c>
      <c r="M6" s="24" t="n">
        <f aca="false">INDEX(Zählerstände!$E$4:$H$4,I6)</f>
        <v>45778</v>
      </c>
    </row>
    <row r="7" customFormat="false" ht="15" hidden="false" customHeight="false" outlineLevel="0" collapsed="false">
      <c r="A7" s="6" t="s">
        <v>147</v>
      </c>
      <c r="B7" s="23" t="s">
        <v>35</v>
      </c>
      <c r="C7" s="14" t="n">
        <v>45778</v>
      </c>
      <c r="D7" s="14" t="n">
        <v>45869</v>
      </c>
      <c r="E7" s="17" t="n">
        <v>3</v>
      </c>
      <c r="F7" s="8" t="n">
        <v>0</v>
      </c>
      <c r="G7" s="8" t="n">
        <v>0</v>
      </c>
      <c r="H7" s="17" t="n">
        <v>2</v>
      </c>
      <c r="I7" s="17" t="n">
        <v>3</v>
      </c>
      <c r="J7" s="25" t="n">
        <f aca="false">E7/(E7+E8)</f>
        <v>0.214285714285714</v>
      </c>
      <c r="K7" s="9" t="n">
        <f aca="false">Kosten!B11*E7</f>
        <v>140.77875</v>
      </c>
      <c r="L7" s="24" t="n">
        <f aca="false">INDEX(Zählerstände!$E$4:$H$4,H7)</f>
        <v>45778</v>
      </c>
      <c r="M7" s="24" t="n">
        <f aca="false">INDEX(Zählerstände!$E$4:$H$4,I7)</f>
        <v>46192</v>
      </c>
    </row>
    <row r="8" customFormat="false" ht="15" hidden="false" customHeight="false" outlineLevel="0" collapsed="false">
      <c r="A8" s="6" t="s">
        <v>148</v>
      </c>
      <c r="B8" s="23" t="s">
        <v>149</v>
      </c>
      <c r="C8" s="14" t="n">
        <v>45870</v>
      </c>
      <c r="D8" s="14" t="n">
        <v>46192</v>
      </c>
      <c r="E8" s="17" t="n">
        <v>11</v>
      </c>
      <c r="F8" s="8" t="n">
        <v>235</v>
      </c>
      <c r="G8" s="9" t="n">
        <f aca="false">E8*F8</f>
        <v>2585</v>
      </c>
      <c r="H8" s="17" t="n">
        <v>2</v>
      </c>
      <c r="I8" s="17" t="n">
        <v>3</v>
      </c>
      <c r="J8" s="25" t="n">
        <f aca="false">E8/(E7+E8)</f>
        <v>0.785714285714286</v>
      </c>
      <c r="K8" s="9" t="n">
        <f aca="false">Kosten!B11*E8</f>
        <v>516.18875</v>
      </c>
      <c r="L8" s="24" t="n">
        <f aca="false">INDEX(Zählerstände!$E$4:$H$4,H8)</f>
        <v>45778</v>
      </c>
      <c r="M8" s="24" t="n">
        <f aca="false">INDEX(Zählerstände!$E$4:$H$4,I8)</f>
        <v>46192</v>
      </c>
    </row>
    <row r="9" customFormat="false" ht="15" hidden="false" customHeight="false" outlineLevel="0" collapsed="false">
      <c r="A9" s="6" t="s">
        <v>150</v>
      </c>
      <c r="B9" s="23" t="s">
        <v>151</v>
      </c>
      <c r="C9" s="14" t="n">
        <v>46193</v>
      </c>
      <c r="D9" s="14" t="n">
        <v>46387</v>
      </c>
      <c r="E9" s="17" t="n">
        <v>6</v>
      </c>
      <c r="F9" s="8" t="n">
        <v>0</v>
      </c>
      <c r="G9" s="8" t="n">
        <v>0</v>
      </c>
      <c r="H9" s="17" t="n">
        <v>3</v>
      </c>
      <c r="I9" s="17" t="n">
        <v>4</v>
      </c>
      <c r="J9" s="16" t="n">
        <v>1</v>
      </c>
      <c r="K9" s="9" t="n">
        <f aca="false">Kosten!B11*E9</f>
        <v>281.5575</v>
      </c>
      <c r="L9" s="24" t="n">
        <f aca="false">INDEX(Zählerstände!$E$4:$H$4,H9)</f>
        <v>46192</v>
      </c>
      <c r="M9" s="24" t="n">
        <f aca="false">INDEX(Zählerstände!$E$4:$H$4,I9)</f>
        <v>0</v>
      </c>
    </row>
    <row r="11" customFormat="false" ht="15" hidden="false" customHeight="false" outlineLevel="0" collapsed="false">
      <c r="A11" s="10" t="s">
        <v>152</v>
      </c>
    </row>
    <row r="12" customFormat="false" ht="15" hidden="false" customHeight="false" outlineLevel="0" collapsed="false">
      <c r="A12" s="4" t="s">
        <v>153</v>
      </c>
    </row>
    <row r="13" customFormat="false" ht="15" hidden="false" customHeight="false" outlineLevel="0" collapsed="false">
      <c r="A13" s="4" t="s">
        <v>154</v>
      </c>
    </row>
    <row r="14" customFormat="false" ht="15" hidden="false" customHeight="false" outlineLevel="0" collapsed="false">
      <c r="A14" s="4" t="s">
        <v>155</v>
      </c>
    </row>
    <row r="15" customFormat="false" ht="15" hidden="false" customHeight="false" outlineLevel="0" collapsed="false">
      <c r="A15" s="4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7" min="5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4" t="s">
        <v>158</v>
      </c>
    </row>
    <row r="5" customFormat="false" ht="31.5" hidden="false" customHeight="true" outlineLevel="0" collapsed="false">
      <c r="A5" s="5" t="s">
        <v>54</v>
      </c>
      <c r="B5" s="5" t="s">
        <v>27</v>
      </c>
      <c r="C5" s="5" t="s">
        <v>159</v>
      </c>
      <c r="D5" s="5" t="s">
        <v>160</v>
      </c>
      <c r="E5" s="5" t="s">
        <v>161</v>
      </c>
      <c r="F5" s="5" t="s">
        <v>162</v>
      </c>
      <c r="G5" s="5" t="s">
        <v>163</v>
      </c>
      <c r="H5" s="5" t="s">
        <v>164</v>
      </c>
      <c r="I5" s="5" t="s">
        <v>43</v>
      </c>
      <c r="J5" s="5" t="s">
        <v>44</v>
      </c>
      <c r="K5" s="5" t="s">
        <v>165</v>
      </c>
    </row>
    <row r="6" customFormat="false" ht="15" hidden="false" customHeight="false" outlineLevel="0" collapsed="false">
      <c r="A6" s="13" t="str">
        <f aca="false">Perioden!A6</f>
        <v>P1</v>
      </c>
      <c r="B6" s="13" t="str">
        <f aca="false">Perioden!B6</f>
        <v>Felix Adameck</v>
      </c>
      <c r="C6" s="26" t="n">
        <f aca="false">IF(COUNT(INDEX(Zählerstände!$E$6:$H$6,Perioden!$H6),INDEX(Zählerstände!$E$6:$H$6,Perioden!$I6))&lt;2,"",INDEX(Zählerstände!$E$6:$H$6,Perioden!$I6)-INDEX(Zählerstände!$E$6:$H$6,Perioden!$H6))</f>
        <v>11356.82</v>
      </c>
      <c r="D6" s="26" t="n">
        <f aca="false">IF(COUNT(INDEX(Zählerstände!$E$7:$H$7,Perioden!$H6),INDEX(Zählerstände!$E$7:$H$7,Perioden!$I6))&lt;2,"",INDEX(Zählerstände!$E$7:$H$7,Perioden!$I6)-INDEX(Zählerstände!$E$7:$H$7,Perioden!$H6))</f>
        <v>2084.74</v>
      </c>
      <c r="E6" s="26" t="n">
        <f aca="false">IF(COUNT(INDEX(Zählerstände!$E$8:$H$8,Perioden!$H6),INDEX(Zählerstände!$E$8:$H$8,Perioden!$I6))&lt;2,"",INDEX(Zählerstände!$E$8:$H$8,Perioden!$I6)-INDEX(Zählerstände!$E$8:$H$8,Perioden!$H6))</f>
        <v>17.45</v>
      </c>
      <c r="F6" s="26" t="n">
        <f aca="false">IF(COUNT(INDEX(Zählerstände!$E$9:$H$9,Perioden!$H6),INDEX(Zählerstände!$E$9:$H$9,Perioden!$I6))&lt;2,"",INDEX(Zählerstände!$E$9:$H$9,Perioden!$I6)-INDEX(Zählerstände!$E$9:$H$9,Perioden!$H6))</f>
        <v>20</v>
      </c>
      <c r="G6" s="26" t="n">
        <f aca="false">IF(COUNT(INDEX(Zählerstände!$E$10:$H$10,Perioden!$H6),INDEX(Zählerstände!$E$10:$H$10,Perioden!$I6))&lt;2,"",INDEX(Zählerstände!$E$10:$H$10,Perioden!$I6)-INDEX(Zählerstände!$E$10:$H$10,Perioden!$H6))</f>
        <v>45.906</v>
      </c>
      <c r="H6" s="26" t="n">
        <f aca="false">IF(COUNT(INDEX(Zählerstände!$E$11:$H$11,Perioden!$H6),INDEX(Zählerstände!$E$11:$H$11,Perioden!$I6))&lt;2,"",INDEX(Zählerstände!$E$11:$H$11,Perioden!$I6)-INDEX(Zählerstände!$E$11:$H$11,Perioden!$H6))</f>
        <v>18.049</v>
      </c>
      <c r="I6" s="18" t="n">
        <f aca="false">IF(OR(E6="",F6=""),"",E6/(E6+F6))</f>
        <v>0.465954606141522</v>
      </c>
      <c r="J6" s="22" t="n">
        <f aca="false">IF(OR(C6="",E6="",F6=""),"",(E6+F6)*1000/C6)</f>
        <v>3.29757801919904</v>
      </c>
      <c r="K6" s="6" t="str">
        <f aca="false">IF(J6="","",IF(AND(J6&gt;=1.5,J6&lt;=6),"plausibel","PRÜFEN"))</f>
        <v>plausibel</v>
      </c>
    </row>
    <row r="7" customFormat="false" ht="15" hidden="false" customHeight="false" outlineLevel="0" collapsed="false">
      <c r="A7" s="13" t="str">
        <f aca="false">Perioden!A7</f>
        <v>LEER</v>
      </c>
      <c r="B7" s="13" t="str">
        <f aca="false">Perioden!B7</f>
        <v>Leerstand (Thomas Weis)</v>
      </c>
      <c r="C7" s="26" t="n">
        <f aca="false">IF(COUNT(INDEX(Zählerstände!$E$6:$H$6,Perioden!$H7),INDEX(Zählerstände!$E$6:$H$6,Perioden!$I7))&lt;2,"",INDEX(Zählerstände!$E$6:$H$6,Perioden!$I7)-INDEX(Zählerstände!$E$6:$H$6,Perioden!$H7))</f>
        <v>11405.04</v>
      </c>
      <c r="D7" s="26" t="n">
        <f aca="false">IF(COUNT(INDEX(Zählerstände!$E$7:$H$7,Perioden!$H7),INDEX(Zählerstände!$E$7:$H$7,Perioden!$I7))&lt;2,"",INDEX(Zählerstände!$E$7:$H$7,Perioden!$I7)-INDEX(Zählerstände!$E$7:$H$7,Perioden!$H7))</f>
        <v>2118.78</v>
      </c>
      <c r="E7" s="26" t="n">
        <f aca="false">IF(COUNT(INDEX(Zählerstände!$E$8:$H$8,Perioden!$H7),INDEX(Zählerstände!$E$8:$H$8,Perioden!$I7))&lt;2,"",INDEX(Zählerstände!$E$8:$H$8,Perioden!$I7)-INDEX(Zählerstände!$E$8:$H$8,Perioden!$H7))</f>
        <v>16.372</v>
      </c>
      <c r="F7" s="26" t="n">
        <f aca="false">IF(COUNT(INDEX(Zählerstände!$E$9:$H$9,Perioden!$H7),INDEX(Zählerstände!$E$9:$H$9,Perioden!$I7))&lt;2,"",INDEX(Zählerstände!$E$9:$H$9,Perioden!$I7)-INDEX(Zählerstände!$E$9:$H$9,Perioden!$H7))</f>
        <v>7.394</v>
      </c>
      <c r="G7" s="26" t="n">
        <f aca="false">IF(COUNT(INDEX(Zählerstände!$E$10:$H$10,Perioden!$H7),INDEX(Zählerstände!$E$10:$H$10,Perioden!$I7))&lt;2,"",INDEX(Zählerstände!$E$10:$H$10,Perioden!$I7)-INDEX(Zählerstände!$E$10:$H$10,Perioden!$H7))</f>
        <v>41.328</v>
      </c>
      <c r="H7" s="26" t="n">
        <f aca="false">IF(COUNT(INDEX(Zählerstände!$E$11:$H$11,Perioden!$H7),INDEX(Zählerstände!$E$11:$H$11,Perioden!$I7))&lt;2,"",INDEX(Zählerstände!$E$11:$H$11,Perioden!$I7)-INDEX(Zählerstände!$E$11:$H$11,Perioden!$H7))</f>
        <v>10.425</v>
      </c>
      <c r="I7" s="18" t="n">
        <f aca="false">IF(OR(E7="",F7=""),"",E7/(E7+F7))</f>
        <v>0.688883278633342</v>
      </c>
      <c r="J7" s="22" t="n">
        <f aca="false">IF(OR(C7="",E7="",F7=""),"",(E7+F7)*1000/C7)</f>
        <v>2.08381557627154</v>
      </c>
      <c r="K7" s="6" t="str">
        <f aca="false">IF(J7="","",IF(AND(J7&gt;=1.5,J7&lt;=6),"plausibel","PRÜFEN"))</f>
        <v>plausibel</v>
      </c>
    </row>
    <row r="8" customFormat="false" ht="15" hidden="false" customHeight="false" outlineLevel="0" collapsed="false">
      <c r="A8" s="13" t="str">
        <f aca="false">Perioden!A8</f>
        <v>P2</v>
      </c>
      <c r="B8" s="13" t="str">
        <f aca="false">Perioden!B8</f>
        <v>Fam. Kristin &amp; Maximilian Beltz</v>
      </c>
      <c r="C8" s="26" t="n">
        <f aca="false">IF(COUNT(INDEX(Zählerstände!$E$6:$H$6,Perioden!$H8),INDEX(Zählerstände!$E$6:$H$6,Perioden!$I8))&lt;2,"",INDEX(Zählerstände!$E$6:$H$6,Perioden!$I8)-INDEX(Zählerstände!$E$6:$H$6,Perioden!$H8))</f>
        <v>11405.04</v>
      </c>
      <c r="D8" s="26" t="n">
        <f aca="false">IF(COUNT(INDEX(Zählerstände!$E$7:$H$7,Perioden!$H8),INDEX(Zählerstände!$E$7:$H$7,Perioden!$I8))&lt;2,"",INDEX(Zählerstände!$E$7:$H$7,Perioden!$I8)-INDEX(Zählerstände!$E$7:$H$7,Perioden!$H8))</f>
        <v>2118.78</v>
      </c>
      <c r="E8" s="26" t="n">
        <f aca="false">IF(COUNT(INDEX(Zählerstände!$E$8:$H$8,Perioden!$H8),INDEX(Zählerstände!$E$8:$H$8,Perioden!$I8))&lt;2,"",INDEX(Zählerstände!$E$8:$H$8,Perioden!$I8)-INDEX(Zählerstände!$E$8:$H$8,Perioden!$H8))</f>
        <v>16.372</v>
      </c>
      <c r="F8" s="26" t="n">
        <f aca="false">IF(COUNT(INDEX(Zählerstände!$E$9:$H$9,Perioden!$H8),INDEX(Zählerstände!$E$9:$H$9,Perioden!$I8))&lt;2,"",INDEX(Zählerstände!$E$9:$H$9,Perioden!$I8)-INDEX(Zählerstände!$E$9:$H$9,Perioden!$H8))</f>
        <v>7.394</v>
      </c>
      <c r="G8" s="26" t="n">
        <f aca="false">IF(COUNT(INDEX(Zählerstände!$E$10:$H$10,Perioden!$H8),INDEX(Zählerstände!$E$10:$H$10,Perioden!$I8))&lt;2,"",INDEX(Zählerstände!$E$10:$H$10,Perioden!$I8)-INDEX(Zählerstände!$E$10:$H$10,Perioden!$H8))</f>
        <v>41.328</v>
      </c>
      <c r="H8" s="26" t="n">
        <f aca="false">IF(COUNT(INDEX(Zählerstände!$E$11:$H$11,Perioden!$H8),INDEX(Zählerstände!$E$11:$H$11,Perioden!$I8))&lt;2,"",INDEX(Zählerstände!$E$11:$H$11,Perioden!$I8)-INDEX(Zählerstände!$E$11:$H$11,Perioden!$H8))</f>
        <v>10.425</v>
      </c>
      <c r="I8" s="18" t="n">
        <f aca="false">IF(OR(E8="",F8=""),"",E8/(E8+F8))</f>
        <v>0.688883278633342</v>
      </c>
      <c r="J8" s="22" t="n">
        <f aca="false">IF(OR(C8="",E8="",F8=""),"",(E8+F8)*1000/C8)</f>
        <v>2.08381557627154</v>
      </c>
      <c r="K8" s="6" t="str">
        <f aca="false">IF(J8="","",IF(AND(J8&gt;=1.5,J8&lt;=6),"plausibel","PRÜFEN"))</f>
        <v>plausibel</v>
      </c>
    </row>
    <row r="9" customFormat="false" ht="15" hidden="false" customHeight="false" outlineLevel="0" collapsed="false">
      <c r="A9" s="13" t="str">
        <f aca="false">Perioden!A9</f>
        <v>P3</v>
      </c>
      <c r="B9" s="13" t="str">
        <f aca="false">Perioden!B9</f>
        <v>Neuer Eigentümer (Name folgt) – Folgeperiode</v>
      </c>
      <c r="C9" s="26" t="str">
        <f aca="false">IF(COUNT(INDEX(Zählerstände!$E$6:$H$6,Perioden!$H9),INDEX(Zählerstände!$E$6:$H$6,Perioden!$I9))&lt;2,"",INDEX(Zählerstände!$E$6:$H$6,Perioden!$I9)-INDEX(Zählerstände!$E$6:$H$6,Perioden!$H9))</f>
        <v/>
      </c>
      <c r="D9" s="26" t="str">
        <f aca="false">IF(COUNT(INDEX(Zählerstände!$E$7:$H$7,Perioden!$H9),INDEX(Zählerstände!$E$7:$H$7,Perioden!$I9))&lt;2,"",INDEX(Zählerstände!$E$7:$H$7,Perioden!$I9)-INDEX(Zählerstände!$E$7:$H$7,Perioden!$H9))</f>
        <v/>
      </c>
      <c r="E9" s="26" t="str">
        <f aca="false">IF(COUNT(INDEX(Zählerstände!$E$8:$H$8,Perioden!$H9),INDEX(Zählerstände!$E$8:$H$8,Perioden!$I9))&lt;2,"",INDEX(Zählerstände!$E$8:$H$8,Perioden!$I9)-INDEX(Zählerstände!$E$8:$H$8,Perioden!$H9))</f>
        <v/>
      </c>
      <c r="F9" s="26" t="str">
        <f aca="false">IF(COUNT(INDEX(Zählerstände!$E$9:$H$9,Perioden!$H9),INDEX(Zählerstände!$E$9:$H$9,Perioden!$I9))&lt;2,"",INDEX(Zählerstände!$E$9:$H$9,Perioden!$I9)-INDEX(Zählerstände!$E$9:$H$9,Perioden!$H9))</f>
        <v/>
      </c>
      <c r="G9" s="26" t="str">
        <f aca="false">IF(COUNT(INDEX(Zählerstände!$E$10:$H$10,Perioden!$H9),INDEX(Zählerstände!$E$10:$H$10,Perioden!$I9))&lt;2,"",INDEX(Zählerstände!$E$10:$H$10,Perioden!$I9)-INDEX(Zählerstände!$E$10:$H$10,Perioden!$H9))</f>
        <v/>
      </c>
      <c r="H9" s="26" t="str">
        <f aca="false">IF(COUNT(INDEX(Zählerstände!$E$11:$H$11,Perioden!$H9),INDEX(Zählerstände!$E$11:$H$11,Perioden!$I9))&lt;2,"",INDEX(Zählerstände!$E$11:$H$11,Perioden!$I9)-INDEX(Zählerstände!$E$11:$H$11,Perioden!$H9))</f>
        <v/>
      </c>
      <c r="I9" s="18" t="str">
        <f aca="false">IF(OR(E9="",F9=""),"",E9/(E9+F9))</f>
        <v/>
      </c>
      <c r="J9" s="22" t="str">
        <f aca="false">IF(OR(C9="",E9="",F9=""),"",(E9+F9)*1000/C9)</f>
        <v/>
      </c>
      <c r="K9" s="6" t="str">
        <f aca="false">IF(J9="","",IF(AND(J9&gt;=1.5,J9&lt;=6),"plausibel","PRÜFEN"))</f>
        <v/>
      </c>
    </row>
    <row r="11" customFormat="false" ht="15" hidden="false" customHeight="false" outlineLevel="0" collapsed="false">
      <c r="A11" s="4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4" t="s">
        <v>168</v>
      </c>
    </row>
    <row r="4" customFormat="false" ht="15" hidden="false" customHeight="false" outlineLevel="0" collapsed="false">
      <c r="A4" s="27" t="s">
        <v>134</v>
      </c>
      <c r="B4" s="28" t="str">
        <f aca="false">Perioden!B6</f>
        <v>Felix Adameck</v>
      </c>
    </row>
    <row r="5" customFormat="false" ht="15" hidden="false" customHeight="false" outlineLevel="0" collapsed="false">
      <c r="A5" s="10" t="s">
        <v>135</v>
      </c>
      <c r="B5" s="24" t="n">
        <f aca="false">Perioden!C6</f>
        <v>45323</v>
      </c>
    </row>
    <row r="6" customFormat="false" ht="15" hidden="false" customHeight="false" outlineLevel="0" collapsed="false">
      <c r="A6" s="10" t="s">
        <v>136</v>
      </c>
      <c r="B6" s="24" t="n">
        <f aca="false">Perioden!D6</f>
        <v>45777</v>
      </c>
    </row>
    <row r="7" customFormat="false" ht="15" hidden="false" customHeight="false" outlineLevel="0" collapsed="false">
      <c r="A7" s="10" t="s">
        <v>108</v>
      </c>
      <c r="B7" s="29" t="n">
        <f aca="false">Perioden!E6</f>
        <v>15</v>
      </c>
    </row>
    <row r="8" customFormat="false" ht="15" hidden="false" customHeight="false" outlineLevel="0" collapsed="false">
      <c r="A8" s="10" t="s">
        <v>43</v>
      </c>
      <c r="B8" s="11" t="n">
        <f aca="false">Berechnung!I6</f>
        <v>0.465954606141522</v>
      </c>
    </row>
    <row r="10" customFormat="false" ht="31.5" hidden="false" customHeight="true" outlineLevel="0" collapsed="false">
      <c r="A10" s="5" t="s">
        <v>169</v>
      </c>
      <c r="B10" s="5" t="s">
        <v>170</v>
      </c>
      <c r="C10" s="5" t="s">
        <v>171</v>
      </c>
    </row>
    <row r="11" customFormat="false" ht="15" hidden="false" customHeight="false" outlineLevel="0" collapsed="false">
      <c r="A11" s="30" t="s">
        <v>172</v>
      </c>
      <c r="B11" s="31" t="s">
        <v>173</v>
      </c>
      <c r="C11" s="32" t="n">
        <f aca="false">ROUND(Berechnung!C6*Perioden!J6*Berechnung!I6*Kosten!B4,2)</f>
        <v>1302.83</v>
      </c>
    </row>
    <row r="12" customFormat="false" ht="15" hidden="false" customHeight="false" outlineLevel="0" collapsed="false">
      <c r="A12" s="30" t="s">
        <v>174</v>
      </c>
      <c r="B12" s="31" t="s">
        <v>175</v>
      </c>
      <c r="C12" s="32" t="n">
        <f aca="false">ROUND(Berechnung!H6*Kosten!B13,2)</f>
        <v>92.87</v>
      </c>
    </row>
    <row r="13" customFormat="false" ht="15" hidden="false" customHeight="false" outlineLevel="0" collapsed="false">
      <c r="A13" s="30" t="s">
        <v>176</v>
      </c>
      <c r="B13" s="31" t="s">
        <v>177</v>
      </c>
      <c r="C13" s="32" t="n">
        <f aca="false">ROUND(Berechnung!D6*Perioden!J6*Kosten!B4,2)</f>
        <v>513.26</v>
      </c>
    </row>
    <row r="14" customFormat="false" ht="15" hidden="false" customHeight="false" outlineLevel="0" collapsed="false">
      <c r="A14" s="30" t="s">
        <v>178</v>
      </c>
      <c r="B14" s="31" t="s">
        <v>179</v>
      </c>
      <c r="C14" s="32" t="n">
        <f aca="false">ROUND(Perioden!K6*Kosten!B7,2)</f>
        <v>183.53</v>
      </c>
    </row>
    <row r="15" customFormat="false" ht="15" hidden="false" customHeight="false" outlineLevel="0" collapsed="false">
      <c r="A15" s="30" t="str">
        <f aca="false">"Wasser/Abwasser "&amp;YEAR(Perioden!$C$6)</f>
        <v>Wasser/Abwasser 2024</v>
      </c>
      <c r="B15" s="31" t="s">
        <v>180</v>
      </c>
      <c r="C15" s="32" t="n">
        <f aca="false">ROUND((Berechnung!G6+Berechnung!H6)/Perioden!E6*SUMIFS(Monatsraster!$E$5:$E$100,Monatsraster!$A$5:$A$100,Perioden!$A$6,Monatsraster!$D$5:$D$100,YEAR(Perioden!$C$6)),2)</f>
        <v>357.85</v>
      </c>
    </row>
    <row r="16" customFormat="false" ht="15" hidden="false" customHeight="false" outlineLevel="0" collapsed="false">
      <c r="A16" s="30" t="str">
        <f aca="false">"Wasser/Abwasser "&amp;(YEAR(Perioden!$C$6)+1)</f>
        <v>Wasser/Abwasser 2025</v>
      </c>
      <c r="B16" s="31" t="s">
        <v>181</v>
      </c>
      <c r="C16" s="32" t="n">
        <f aca="false">ROUND((Berechnung!G6+Berechnung!H6)/Perioden!E6*SUMIFS(Monatsraster!$E$5:$E$100,Monatsraster!$A$5:$A$100,Perioden!$A$6,Monatsraster!$D$5:$D$100,YEAR(Perioden!$C$6)+1),2)</f>
        <v>126.89</v>
      </c>
    </row>
    <row r="17" customFormat="false" ht="15" hidden="false" customHeight="false" outlineLevel="0" collapsed="false">
      <c r="A17" s="30" t="s">
        <v>182</v>
      </c>
      <c r="B17" s="31" t="s">
        <v>183</v>
      </c>
      <c r="C17" s="32" t="n">
        <f aca="false">ROUND(Kosten!B14*Perioden!E6,2)</f>
        <v>362.7</v>
      </c>
    </row>
    <row r="18" customFormat="false" ht="15" hidden="false" customHeight="false" outlineLevel="0" collapsed="false">
      <c r="A18" s="30" t="s">
        <v>184</v>
      </c>
      <c r="B18" s="31" t="s">
        <v>185</v>
      </c>
      <c r="C18" s="32" t="n">
        <f aca="false">ROUND(Kosten!B16*Perioden!E6,2)</f>
        <v>235.98</v>
      </c>
    </row>
    <row r="19" customFormat="false" ht="15" hidden="false" customHeight="false" outlineLevel="0" collapsed="false">
      <c r="A19" s="30" t="str">
        <f aca="false">"Niederschlagswasser "&amp;YEAR(Perioden!$C$6)</f>
        <v>Niederschlagswasser 2024</v>
      </c>
      <c r="B19" s="31" t="s">
        <v>186</v>
      </c>
      <c r="C19" s="32" t="n">
        <f aca="false">ROUND(SUMIFS(Monatsraster!$F$5:$F$100,Monatsraster!$A$5:$A$100,Perioden!$A$6,Monatsraster!$D$5:$D$100,YEAR(Perioden!$C$6)),2)</f>
        <v>66.88</v>
      </c>
    </row>
    <row r="20" customFormat="false" ht="15" hidden="false" customHeight="false" outlineLevel="0" collapsed="false">
      <c r="A20" s="30" t="str">
        <f aca="false">"Niederschlagswasser "&amp;(YEAR(Perioden!$C$6)+1)</f>
        <v>Niederschlagswasser 2025</v>
      </c>
      <c r="B20" s="31" t="s">
        <v>181</v>
      </c>
      <c r="C20" s="32" t="n">
        <f aca="false">ROUND(SUMIFS(Monatsraster!$F$5:$F$100,Monatsraster!$A$5:$A$100,Perioden!$A$6,Monatsraster!$D$5:$D$100,YEAR(Perioden!$C$6)+1),2)</f>
        <v>19.88</v>
      </c>
    </row>
    <row r="21" customFormat="false" ht="15" hidden="false" customHeight="false" outlineLevel="0" collapsed="false">
      <c r="A21" s="33" t="s">
        <v>187</v>
      </c>
      <c r="B21" s="34"/>
      <c r="C21" s="35" t="n">
        <f aca="false">SUM(C11:C20)</f>
        <v>3262.67</v>
      </c>
    </row>
    <row r="22" customFormat="false" ht="15" hidden="false" customHeight="false" outlineLevel="0" collapsed="false">
      <c r="A22" s="33" t="s">
        <v>188</v>
      </c>
      <c r="B22" s="34"/>
      <c r="C22" s="35" t="n">
        <f aca="false">C21</f>
        <v>3262.67</v>
      </c>
    </row>
    <row r="23" customFormat="false" ht="15" hidden="false" customHeight="false" outlineLevel="0" collapsed="false">
      <c r="A23" s="6" t="s">
        <v>189</v>
      </c>
      <c r="C23" s="9" t="n">
        <f aca="false">Perioden!G6</f>
        <v>2545</v>
      </c>
    </row>
    <row r="24" customFormat="false" ht="15" hidden="false" customHeight="false" outlineLevel="0" collapsed="false">
      <c r="A24" s="33" t="str">
        <f aca="false">IF(C24&gt;=0,"Nachzahlung (Mieter zahlt)","Guthaben (Mieter erhält)")</f>
        <v>Nachzahlung (Mieter zahlt)</v>
      </c>
      <c r="B24" s="34"/>
      <c r="C24" s="35" t="n">
        <f aca="false">C22-C23</f>
        <v>717.67</v>
      </c>
    </row>
    <row r="26" customFormat="false" ht="15" hidden="false" customHeight="false" outlineLevel="0" collapsed="false">
      <c r="A26" s="4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4" t="s">
        <v>168</v>
      </c>
    </row>
    <row r="4" customFormat="false" ht="15" hidden="false" customHeight="false" outlineLevel="0" collapsed="false">
      <c r="A4" s="27" t="s">
        <v>134</v>
      </c>
      <c r="B4" s="28" t="str">
        <f aca="false">Perioden!B7</f>
        <v>Leerstand (Thomas Weis)</v>
      </c>
    </row>
    <row r="5" customFormat="false" ht="15" hidden="false" customHeight="false" outlineLevel="0" collapsed="false">
      <c r="A5" s="10" t="s">
        <v>135</v>
      </c>
      <c r="B5" s="24" t="n">
        <f aca="false">Perioden!C7</f>
        <v>45778</v>
      </c>
    </row>
    <row r="6" customFormat="false" ht="15" hidden="false" customHeight="false" outlineLevel="0" collapsed="false">
      <c r="A6" s="10" t="s">
        <v>136</v>
      </c>
      <c r="B6" s="24" t="n">
        <f aca="false">Perioden!D7</f>
        <v>45869</v>
      </c>
    </row>
    <row r="7" customFormat="false" ht="15" hidden="false" customHeight="false" outlineLevel="0" collapsed="false">
      <c r="A7" s="10" t="s">
        <v>108</v>
      </c>
      <c r="B7" s="29" t="n">
        <f aca="false">Perioden!E7</f>
        <v>3</v>
      </c>
    </row>
    <row r="8" customFormat="false" ht="15" hidden="false" customHeight="false" outlineLevel="0" collapsed="false">
      <c r="A8" s="10" t="s">
        <v>43</v>
      </c>
      <c r="B8" s="11" t="n">
        <f aca="false">Berechnung!I7</f>
        <v>0.688883278633342</v>
      </c>
    </row>
    <row r="10" customFormat="false" ht="31.5" hidden="false" customHeight="true" outlineLevel="0" collapsed="false">
      <c r="A10" s="5" t="s">
        <v>169</v>
      </c>
      <c r="B10" s="5" t="s">
        <v>170</v>
      </c>
      <c r="C10" s="5" t="s">
        <v>171</v>
      </c>
    </row>
    <row r="11" customFormat="false" ht="15" hidden="false" customHeight="false" outlineLevel="0" collapsed="false">
      <c r="A11" s="30" t="s">
        <v>192</v>
      </c>
      <c r="B11" s="31" t="s">
        <v>193</v>
      </c>
      <c r="C11" s="32" t="n">
        <f aca="false">ROUND(Berechnung!C7*Perioden!J7*Berechnung!I7*Kosten!B4,2)</f>
        <v>414.5</v>
      </c>
    </row>
    <row r="12" customFormat="false" ht="15" hidden="false" customHeight="false" outlineLevel="0" collapsed="false">
      <c r="A12" s="30" t="s">
        <v>194</v>
      </c>
      <c r="B12" s="31" t="s">
        <v>195</v>
      </c>
      <c r="C12" s="32" t="n">
        <f aca="false">ROUND(Berechnung!D7*Perioden!J7*Kosten!B4,2)</f>
        <v>111.78</v>
      </c>
    </row>
    <row r="13" customFormat="false" ht="15" hidden="false" customHeight="false" outlineLevel="0" collapsed="false">
      <c r="A13" s="30" t="s">
        <v>178</v>
      </c>
      <c r="B13" s="31" t="s">
        <v>196</v>
      </c>
      <c r="C13" s="32" t="n">
        <f aca="false">ROUND(Perioden!K7*Kosten!B7,2)</f>
        <v>45.88</v>
      </c>
    </row>
    <row r="14" customFormat="false" ht="15" hidden="false" customHeight="false" outlineLevel="0" collapsed="false">
      <c r="A14" s="30" t="s">
        <v>182</v>
      </c>
      <c r="B14" s="31" t="s">
        <v>183</v>
      </c>
      <c r="C14" s="32" t="n">
        <f aca="false">ROUND(Kosten!B14*Perioden!E7,2)</f>
        <v>72.54</v>
      </c>
    </row>
    <row r="15" customFormat="false" ht="15" hidden="false" customHeight="false" outlineLevel="0" collapsed="false">
      <c r="A15" s="30" t="s">
        <v>184</v>
      </c>
      <c r="B15" s="31" t="s">
        <v>185</v>
      </c>
      <c r="C15" s="32" t="n">
        <f aca="false">ROUND(Kosten!B16*Perioden!E7,2)</f>
        <v>47.2</v>
      </c>
    </row>
    <row r="16" customFormat="false" ht="15" hidden="false" customHeight="false" outlineLevel="0" collapsed="false">
      <c r="A16" s="30" t="s">
        <v>197</v>
      </c>
      <c r="B16" s="31" t="s">
        <v>198</v>
      </c>
      <c r="C16" s="32" t="n">
        <f aca="false">ROUND(SUMIFS(Monatsraster!$F$5:$F$100,Monatsraster!$A$5:$A$100,Perioden!$A$7),2)</f>
        <v>14.91</v>
      </c>
    </row>
    <row r="17" customFormat="false" ht="15" hidden="false" customHeight="false" outlineLevel="0" collapsed="false">
      <c r="A17" s="33" t="s">
        <v>199</v>
      </c>
      <c r="B17" s="34"/>
      <c r="C17" s="35" t="n">
        <f aca="false">SUM(C11:C16)</f>
        <v>706.81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4" t="s">
        <v>168</v>
      </c>
    </row>
    <row r="4" customFormat="false" ht="15" hidden="false" customHeight="false" outlineLevel="0" collapsed="false">
      <c r="A4" s="27" t="s">
        <v>134</v>
      </c>
      <c r="B4" s="28" t="str">
        <f aca="false">Perioden!B8</f>
        <v>Fam. Kristin &amp; Maximilian Beltz</v>
      </c>
    </row>
    <row r="5" customFormat="false" ht="15" hidden="false" customHeight="false" outlineLevel="0" collapsed="false">
      <c r="A5" s="10" t="s">
        <v>135</v>
      </c>
      <c r="B5" s="24" t="n">
        <f aca="false">Perioden!C8</f>
        <v>45870</v>
      </c>
    </row>
    <row r="6" customFormat="false" ht="15" hidden="false" customHeight="false" outlineLevel="0" collapsed="false">
      <c r="A6" s="10" t="s">
        <v>136</v>
      </c>
      <c r="B6" s="24" t="n">
        <f aca="false">Perioden!D8</f>
        <v>46192</v>
      </c>
    </row>
    <row r="7" customFormat="false" ht="15" hidden="false" customHeight="false" outlineLevel="0" collapsed="false">
      <c r="A7" s="10" t="s">
        <v>108</v>
      </c>
      <c r="B7" s="29" t="n">
        <f aca="false">Perioden!E8</f>
        <v>11</v>
      </c>
    </row>
    <row r="8" customFormat="false" ht="15" hidden="false" customHeight="false" outlineLevel="0" collapsed="false">
      <c r="A8" s="10" t="s">
        <v>43</v>
      </c>
      <c r="B8" s="11" t="n">
        <f aca="false">Berechnung!I8</f>
        <v>0.688883278633342</v>
      </c>
    </row>
    <row r="10" customFormat="false" ht="31.5" hidden="false" customHeight="true" outlineLevel="0" collapsed="false">
      <c r="A10" s="5" t="s">
        <v>169</v>
      </c>
      <c r="B10" s="5" t="s">
        <v>170</v>
      </c>
      <c r="C10" s="5" t="s">
        <v>171</v>
      </c>
    </row>
    <row r="11" customFormat="false" ht="15" hidden="false" customHeight="false" outlineLevel="0" collapsed="false">
      <c r="A11" s="30" t="s">
        <v>172</v>
      </c>
      <c r="B11" s="31" t="s">
        <v>201</v>
      </c>
      <c r="C11" s="32" t="n">
        <f aca="false">ROUND(Berechnung!C8*Perioden!J8*Berechnung!I8*Kosten!B4,2)</f>
        <v>1519.83</v>
      </c>
    </row>
    <row r="12" customFormat="false" ht="15" hidden="false" customHeight="false" outlineLevel="0" collapsed="false">
      <c r="A12" s="30" t="s">
        <v>174</v>
      </c>
      <c r="B12" s="31" t="s">
        <v>175</v>
      </c>
      <c r="C12" s="32" t="n">
        <f aca="false">ROUND(Berechnung!H8*Kosten!B13,2)</f>
        <v>53.64</v>
      </c>
    </row>
    <row r="13" customFormat="false" ht="15" hidden="false" customHeight="false" outlineLevel="0" collapsed="false">
      <c r="A13" s="30" t="s">
        <v>176</v>
      </c>
      <c r="B13" s="31" t="s">
        <v>202</v>
      </c>
      <c r="C13" s="32" t="n">
        <f aca="false">ROUND(Berechnung!D8*Perioden!J8*Kosten!B4,2)</f>
        <v>409.86</v>
      </c>
    </row>
    <row r="14" customFormat="false" ht="15" hidden="false" customHeight="false" outlineLevel="0" collapsed="false">
      <c r="A14" s="30" t="s">
        <v>178</v>
      </c>
      <c r="B14" s="31" t="s">
        <v>196</v>
      </c>
      <c r="C14" s="32" t="n">
        <f aca="false">ROUND(Perioden!K8*Kosten!B7,2)</f>
        <v>168.24</v>
      </c>
    </row>
    <row r="15" customFormat="false" ht="15" hidden="false" customHeight="false" outlineLevel="0" collapsed="false">
      <c r="A15" s="30" t="s">
        <v>203</v>
      </c>
      <c r="B15" s="31" t="s">
        <v>204</v>
      </c>
      <c r="C15" s="32" t="n">
        <f aca="false">ROUND((Berechnung!G8+Berechnung!H8)/Perioden!E8*SUMIFS(Monatsraster!$E$5:$E$100,Monatsraster!$A$5:$A$100,Perioden!$A$8),2)</f>
        <v>385.04</v>
      </c>
    </row>
    <row r="16" customFormat="false" ht="15" hidden="false" customHeight="false" outlineLevel="0" collapsed="false">
      <c r="A16" s="30" t="s">
        <v>182</v>
      </c>
      <c r="B16" s="31" t="s">
        <v>183</v>
      </c>
      <c r="C16" s="32" t="n">
        <f aca="false">ROUND(Kosten!B14*Perioden!E8,2)</f>
        <v>265.98</v>
      </c>
    </row>
    <row r="17" customFormat="false" ht="15" hidden="false" customHeight="false" outlineLevel="0" collapsed="false">
      <c r="A17" s="30" t="s">
        <v>184</v>
      </c>
      <c r="B17" s="31" t="s">
        <v>185</v>
      </c>
      <c r="C17" s="32" t="n">
        <f aca="false">ROUND(Kosten!B16*Perioden!E8,2)</f>
        <v>173.05</v>
      </c>
    </row>
    <row r="18" customFormat="false" ht="15" hidden="false" customHeight="false" outlineLevel="0" collapsed="false">
      <c r="A18" s="30" t="s">
        <v>197</v>
      </c>
      <c r="B18" s="31" t="s">
        <v>198</v>
      </c>
      <c r="C18" s="32" t="n">
        <f aca="false">ROUND(SUMIFS(Monatsraster!$F$5:$F$100,Monatsraster!$A$5:$A$100,Perioden!$A$8),2)</f>
        <v>54.67</v>
      </c>
    </row>
    <row r="19" customFormat="false" ht="15" hidden="false" customHeight="false" outlineLevel="0" collapsed="false">
      <c r="A19" s="33" t="s">
        <v>187</v>
      </c>
      <c r="B19" s="34"/>
      <c r="C19" s="35" t="n">
        <f aca="false">SUM(C11:C18)</f>
        <v>3030.31</v>
      </c>
    </row>
    <row r="20" customFormat="false" ht="15" hidden="false" customHeight="false" outlineLevel="0" collapsed="false">
      <c r="A20" s="6" t="s">
        <v>205</v>
      </c>
      <c r="C20" s="9" t="n">
        <f aca="false">Kosten!B18</f>
        <v>80</v>
      </c>
    </row>
    <row r="21" customFormat="false" ht="15" hidden="false" customHeight="false" outlineLevel="0" collapsed="false">
      <c r="A21" s="33" t="s">
        <v>188</v>
      </c>
      <c r="B21" s="34"/>
      <c r="C21" s="35" t="n">
        <f aca="false">C19+C20</f>
        <v>3110.31</v>
      </c>
    </row>
    <row r="22" customFormat="false" ht="15" hidden="false" customHeight="false" outlineLevel="0" collapsed="false">
      <c r="A22" s="6" t="s">
        <v>189</v>
      </c>
      <c r="C22" s="9" t="n">
        <f aca="false">Perioden!G8</f>
        <v>2585</v>
      </c>
    </row>
    <row r="23" customFormat="false" ht="15" hidden="false" customHeight="false" outlineLevel="0" collapsed="false">
      <c r="A23" s="33" t="str">
        <f aca="false">IF(C23&gt;=0,"Nachzahlung (Mieter zahlt)","Guthaben (Mieter erhält)")</f>
        <v>Nachzahlung (Mieter zahlt)</v>
      </c>
      <c r="B23" s="34"/>
      <c r="C23" s="35" t="n">
        <f aca="false">C21-C22</f>
        <v>525.31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4" t="s">
        <v>168</v>
      </c>
    </row>
    <row r="4" customFormat="false" ht="15" hidden="false" customHeight="false" outlineLevel="0" collapsed="false">
      <c r="A4" s="27" t="s">
        <v>134</v>
      </c>
      <c r="B4" s="28" t="str">
        <f aca="false">Perioden!B9</f>
        <v>Neuer Eigentümer (Name folgt) – Folgeperiode</v>
      </c>
    </row>
    <row r="5" customFormat="false" ht="15" hidden="false" customHeight="false" outlineLevel="0" collapsed="false">
      <c r="A5" s="10" t="s">
        <v>135</v>
      </c>
      <c r="B5" s="24" t="n">
        <f aca="false">Perioden!C9</f>
        <v>46193</v>
      </c>
    </row>
    <row r="6" customFormat="false" ht="15" hidden="false" customHeight="false" outlineLevel="0" collapsed="false">
      <c r="A6" s="10" t="s">
        <v>136</v>
      </c>
      <c r="B6" s="24" t="n">
        <f aca="false">Perioden!D9</f>
        <v>46387</v>
      </c>
    </row>
    <row r="7" customFormat="false" ht="15" hidden="false" customHeight="false" outlineLevel="0" collapsed="false">
      <c r="A7" s="10" t="s">
        <v>108</v>
      </c>
      <c r="B7" s="29" t="n">
        <f aca="false">Perioden!E9</f>
        <v>6</v>
      </c>
    </row>
    <row r="8" customFormat="false" ht="15" hidden="false" customHeight="false" outlineLevel="0" collapsed="false">
      <c r="A8" s="10" t="s">
        <v>43</v>
      </c>
      <c r="B8" s="11" t="str">
        <f aca="false">Berechnung!I9</f>
        <v/>
      </c>
    </row>
    <row r="10" customFormat="false" ht="15" hidden="false" customHeight="false" outlineLevel="0" collapsed="false">
      <c r="A10" s="4" t="s">
        <v>207</v>
      </c>
    </row>
    <row r="11" customFormat="false" ht="15" hidden="false" customHeight="false" outlineLevel="0" collapsed="false">
      <c r="A11" s="6" t="s">
        <v>208</v>
      </c>
      <c r="C11" s="17" t="n">
        <v>0</v>
      </c>
    </row>
    <row r="12" customFormat="false" ht="15" hidden="false" customHeight="false" outlineLevel="0" collapsed="false">
      <c r="A12" s="6" t="s">
        <v>176</v>
      </c>
      <c r="C12" s="17" t="n">
        <v>0</v>
      </c>
    </row>
    <row r="13" customFormat="false" ht="15" hidden="false" customHeight="false" outlineLevel="0" collapsed="false">
      <c r="A13" s="6" t="s">
        <v>178</v>
      </c>
      <c r="C13" s="17" t="n">
        <v>0</v>
      </c>
    </row>
    <row r="14" customFormat="false" ht="15" hidden="false" customHeight="false" outlineLevel="0" collapsed="false">
      <c r="A14" s="6" t="s">
        <v>182</v>
      </c>
      <c r="C14" s="17" t="n">
        <v>0</v>
      </c>
    </row>
    <row r="15" customFormat="false" ht="15" hidden="false" customHeight="false" outlineLevel="0" collapsed="false">
      <c r="A15" s="6" t="s">
        <v>184</v>
      </c>
      <c r="C15" s="17" t="n">
        <v>0</v>
      </c>
    </row>
    <row r="16" customFormat="false" ht="15" hidden="false" customHeight="false" outlineLevel="0" collapsed="false">
      <c r="A16" s="6" t="s">
        <v>197</v>
      </c>
      <c r="C16" s="17" t="n">
        <v>0</v>
      </c>
    </row>
    <row r="18" customFormat="false" ht="31.5" hidden="false" customHeight="true" outlineLevel="0" collapsed="false">
      <c r="A18" s="5" t="s">
        <v>169</v>
      </c>
      <c r="B18" s="5" t="s">
        <v>170</v>
      </c>
      <c r="C18" s="5" t="s">
        <v>171</v>
      </c>
    </row>
    <row r="19" customFormat="false" ht="15" hidden="false" customHeight="false" outlineLevel="0" collapsed="false">
      <c r="A19" s="30" t="s">
        <v>172</v>
      </c>
      <c r="B19" s="31" t="s">
        <v>209</v>
      </c>
      <c r="C19" s="32" t="str">
        <f aca="false">IF(Berechnung!C9="","",ROUND(Berechnung!C9*Perioden!J9*Berechnung!I9*Kosten!B4,2))</f>
        <v/>
      </c>
    </row>
    <row r="20" customFormat="false" ht="15" hidden="false" customHeight="false" outlineLevel="0" collapsed="false">
      <c r="A20" s="30" t="s">
        <v>174</v>
      </c>
      <c r="B20" s="31" t="s">
        <v>210</v>
      </c>
      <c r="C20" s="32" t="str">
        <f aca="false">IF(Berechnung!H9="","",ROUND(Berechnung!H9*Kosten!B13,2))</f>
        <v/>
      </c>
    </row>
    <row r="21" customFormat="false" ht="15" hidden="false" customHeight="false" outlineLevel="0" collapsed="false">
      <c r="A21" s="30" t="s">
        <v>211</v>
      </c>
      <c r="B21" s="31" t="s">
        <v>212</v>
      </c>
      <c r="C21" s="32" t="str">
        <f aca="false">IF(Berechnung!H9="","",ROUND(Berechnung!H9/Perioden!E9*SUMIFS(Monatsraster!$E$5:$E$100,Monatsraster!$A$5:$A$100,Perioden!$A$9),2))</f>
        <v/>
      </c>
    </row>
    <row r="22" customFormat="false" ht="15" hidden="false" customHeight="false" outlineLevel="0" collapsed="false">
      <c r="A22" s="30" t="s">
        <v>213</v>
      </c>
      <c r="B22" s="31" t="s">
        <v>214</v>
      </c>
      <c r="C22" s="32" t="n">
        <f aca="false">IF(C11=0,0,IF(Berechnung!G9="","",ROUND(Berechnung!G9/Perioden!E9*SUMIFS(Monatsraster!$E$5:$E$100,Monatsraster!$A$5:$A$100,Perioden!$A$9),2)))</f>
        <v>0</v>
      </c>
    </row>
    <row r="23" customFormat="false" ht="15" hidden="false" customHeight="false" outlineLevel="0" collapsed="false">
      <c r="A23" s="30" t="s">
        <v>176</v>
      </c>
      <c r="B23" s="31" t="s">
        <v>214</v>
      </c>
      <c r="C23" s="32" t="n">
        <f aca="false">IF(C12=0,0,IF(Berechnung!D9="","",ROUND(Berechnung!D9*Perioden!J9*Kosten!B4,2)))</f>
        <v>0</v>
      </c>
    </row>
    <row r="24" customFormat="false" ht="15" hidden="false" customHeight="false" outlineLevel="0" collapsed="false">
      <c r="A24" s="30" t="s">
        <v>178</v>
      </c>
      <c r="B24" s="31" t="s">
        <v>214</v>
      </c>
      <c r="C24" s="32" t="n">
        <f aca="false">IF(C13=0,0,ROUND(Perioden!K9*Kosten!B7,2))</f>
        <v>0</v>
      </c>
    </row>
    <row r="25" customFormat="false" ht="15" hidden="false" customHeight="false" outlineLevel="0" collapsed="false">
      <c r="A25" s="30" t="s">
        <v>182</v>
      </c>
      <c r="B25" s="31" t="s">
        <v>214</v>
      </c>
      <c r="C25" s="32" t="n">
        <f aca="false">IF(C14=0,0,ROUND(Kosten!B14*Perioden!E9,2))</f>
        <v>0</v>
      </c>
    </row>
    <row r="26" customFormat="false" ht="15" hidden="false" customHeight="false" outlineLevel="0" collapsed="false">
      <c r="A26" s="30" t="s">
        <v>184</v>
      </c>
      <c r="B26" s="31" t="s">
        <v>214</v>
      </c>
      <c r="C26" s="32" t="n">
        <f aca="false">IF(C15=0,0,ROUND(Kosten!B16*Perioden!E9,2))</f>
        <v>0</v>
      </c>
    </row>
    <row r="27" customFormat="false" ht="15" hidden="false" customHeight="false" outlineLevel="0" collapsed="false">
      <c r="A27" s="30" t="s">
        <v>197</v>
      </c>
      <c r="B27" s="31" t="s">
        <v>214</v>
      </c>
      <c r="C27" s="32" t="n">
        <f aca="false">IF(C16=0,0,ROUND(SUMIFS(Monatsraster!$F$5:$F$100,Monatsraster!$A$5:$A$100,Perioden!$A$9),2))</f>
        <v>0</v>
      </c>
    </row>
    <row r="28" customFormat="false" ht="15" hidden="false" customHeight="false" outlineLevel="0" collapsed="false">
      <c r="A28" s="33" t="s">
        <v>188</v>
      </c>
      <c r="B28" s="34"/>
      <c r="C28" s="35" t="str">
        <f aca="false">IF(Berechnung!C9="","",SUM(C19:C27))</f>
        <v/>
      </c>
    </row>
    <row r="29" customFormat="false" ht="15" hidden="false" customHeight="false" outlineLevel="0" collapsed="false">
      <c r="A29" s="6" t="s">
        <v>189</v>
      </c>
      <c r="C29" s="9" t="n">
        <f aca="false">Perioden!G9</f>
        <v>0</v>
      </c>
    </row>
    <row r="30" customFormat="false" ht="15" hidden="false" customHeight="false" outlineLevel="0" collapsed="false">
      <c r="A30" s="33" t="str">
        <f aca="false">IF(C28="","",IF(C30&gt;=0,"Nachzahlung","Guthaben"))</f>
        <v/>
      </c>
      <c r="B30" s="34"/>
      <c r="C30" s="35" t="str">
        <f aca="false">IF(C28="","Stand 4 fehlt",C28-C29)</f>
        <v>Stand 4 fehlt</v>
      </c>
    </row>
    <row r="32" customFormat="false" ht="15" hidden="false" customHeight="false" outlineLevel="0" collapsed="false">
      <c r="A32" s="4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34"/>
  </cols>
  <sheetData>
    <row r="1" customFormat="false" ht="17.35" hidden="false" customHeight="false" outlineLevel="0" collapsed="false">
      <c r="A1" s="1" t="s">
        <v>216</v>
      </c>
    </row>
    <row r="2" customFormat="false" ht="15" hidden="false" customHeight="false" outlineLevel="0" collapsed="false">
      <c r="A2" s="4" t="s">
        <v>217</v>
      </c>
    </row>
    <row r="4" customFormat="false" ht="15" hidden="false" customHeight="false" outlineLevel="0" collapsed="false">
      <c r="A4" s="6" t="s">
        <v>218</v>
      </c>
      <c r="B4" s="23" t="s">
        <v>219</v>
      </c>
    </row>
    <row r="5" customFormat="false" ht="15" hidden="false" customHeight="false" outlineLevel="0" collapsed="false">
      <c r="A5" s="6" t="s">
        <v>220</v>
      </c>
      <c r="B5" s="23" t="s">
        <v>221</v>
      </c>
    </row>
    <row r="7" customFormat="false" ht="15" hidden="false" customHeight="false" outlineLevel="0" collapsed="false">
      <c r="A7" s="6" t="s">
        <v>222</v>
      </c>
      <c r="B7" s="8" t="n">
        <v>195</v>
      </c>
    </row>
    <row r="8" customFormat="false" ht="15" hidden="false" customHeight="false" outlineLevel="0" collapsed="false">
      <c r="A8" s="6" t="s">
        <v>223</v>
      </c>
      <c r="B8" s="8" t="n">
        <v>195</v>
      </c>
    </row>
    <row r="10" customFormat="false" ht="15" hidden="false" customHeight="false" outlineLevel="0" collapsed="false">
      <c r="A10" s="10" t="s">
        <v>224</v>
      </c>
    </row>
    <row r="11" customFormat="false" ht="15" hidden="false" customHeight="false" outlineLevel="0" collapsed="false">
      <c r="A11" s="6" t="s">
        <v>225</v>
      </c>
      <c r="B11" s="8" t="n">
        <v>500</v>
      </c>
    </row>
    <row r="12" customFormat="false" ht="15" hidden="false" customHeight="false" outlineLevel="0" collapsed="false">
      <c r="A12" s="6" t="s">
        <v>226</v>
      </c>
      <c r="B12" s="8" t="n">
        <v>273</v>
      </c>
    </row>
    <row r="13" customFormat="false" ht="15" hidden="false" customHeight="false" outlineLevel="0" collapsed="false">
      <c r="A13" s="6" t="s">
        <v>227</v>
      </c>
      <c r="B13" s="8" t="n">
        <v>210.74</v>
      </c>
    </row>
    <row r="14" customFormat="false" ht="15" hidden="false" customHeight="false" outlineLevel="0" collapsed="false">
      <c r="A14" s="6" t="s">
        <v>228</v>
      </c>
      <c r="B14" s="8" t="n">
        <v>104</v>
      </c>
    </row>
    <row r="15" customFormat="false" ht="15" hidden="false" customHeight="false" outlineLevel="0" collapsed="false">
      <c r="A15" s="10" t="s">
        <v>229</v>
      </c>
      <c r="B15" s="36" t="n">
        <f aca="false">SUM(B11:B14)</f>
        <v>1087.74</v>
      </c>
    </row>
    <row r="16" customFormat="false" ht="15" hidden="false" customHeight="false" outlineLevel="0" collapsed="false">
      <c r="A16" s="6" t="s">
        <v>230</v>
      </c>
      <c r="B16" s="8" t="n">
        <v>81.99</v>
      </c>
    </row>
    <row r="19" customFormat="false" ht="31.5" hidden="false" customHeight="true" outlineLevel="0" collapsed="false">
      <c r="A19" s="5" t="s">
        <v>169</v>
      </c>
      <c r="B19" s="5" t="s">
        <v>171</v>
      </c>
    </row>
    <row r="20" customFormat="false" ht="15" hidden="false" customHeight="false" outlineLevel="0" collapsed="false">
      <c r="A20" s="6" t="s">
        <v>231</v>
      </c>
      <c r="B20" s="9" t="n">
        <f aca="false">ROUND(Abr_P1_Felix!C22-Perioden!E6*B7,2)</f>
        <v>337.67</v>
      </c>
    </row>
    <row r="21" customFormat="false" ht="15" hidden="false" customHeight="false" outlineLevel="0" collapsed="false">
      <c r="A21" s="6" t="s">
        <v>232</v>
      </c>
      <c r="B21" s="9" t="n">
        <f aca="false">Abr_Leerstand!C17</f>
        <v>706.81</v>
      </c>
    </row>
    <row r="22" customFormat="false" ht="15" hidden="false" customHeight="false" outlineLevel="0" collapsed="false">
      <c r="A22" s="6" t="s">
        <v>233</v>
      </c>
      <c r="B22" s="9" t="n">
        <f aca="false">ROUND(Abr_P2_Beltz!C21-Perioden!E8*B8,2)</f>
        <v>965.31</v>
      </c>
    </row>
    <row r="23" customFormat="false" ht="15" hidden="false" customHeight="false" outlineLevel="0" collapsed="false">
      <c r="A23" s="10" t="s">
        <v>234</v>
      </c>
      <c r="B23" s="36" t="n">
        <f aca="false">SUM(B20:B22)</f>
        <v>2009.79</v>
      </c>
    </row>
    <row r="24" customFormat="false" ht="15" hidden="false" customHeight="false" outlineLevel="0" collapsed="false">
      <c r="A24" s="6" t="s">
        <v>224</v>
      </c>
      <c r="B24" s="9" t="n">
        <f aca="false">B15</f>
        <v>1087.74</v>
      </c>
    </row>
    <row r="25" customFormat="false" ht="15" hidden="false" customHeight="false" outlineLevel="0" collapsed="false">
      <c r="A25" s="6" t="s">
        <v>235</v>
      </c>
      <c r="B25" s="9" t="n">
        <f aca="false">B16</f>
        <v>81.99</v>
      </c>
    </row>
    <row r="26" customFormat="false" ht="15" hidden="false" customHeight="false" outlineLevel="0" collapsed="false">
      <c r="A26" s="33" t="s">
        <v>236</v>
      </c>
      <c r="B26" s="35" t="n">
        <f aca="false">B23+B24+B25</f>
        <v>3179.52</v>
      </c>
    </row>
    <row r="28" customFormat="false" ht="15" hidden="false" customHeight="false" outlineLevel="0" collapsed="false">
      <c r="A28" s="10" t="s">
        <v>237</v>
      </c>
    </row>
    <row r="29" customFormat="false" ht="15" hidden="false" customHeight="false" outlineLevel="0" collapsed="false">
      <c r="A29" s="6" t="s">
        <v>238</v>
      </c>
      <c r="B29" s="26" t="n">
        <f aca="false">Zählerstände!G12-Zählerstände!E12</f>
        <v>113.547</v>
      </c>
    </row>
    <row r="30" customFormat="false" ht="15" hidden="false" customHeight="false" outlineLevel="0" collapsed="false">
      <c r="A30" s="6" t="s">
        <v>239</v>
      </c>
      <c r="B30" s="9" t="n">
        <f aca="false">ROUND(B29*Kosten!B13,2)</f>
        <v>584.27</v>
      </c>
    </row>
    <row r="32" customFormat="false" ht="15" hidden="false" customHeight="false" outlineLevel="0" collapsed="false">
      <c r="A32" s="10" t="s">
        <v>38</v>
      </c>
    </row>
    <row r="33" customFormat="false" ht="15" hidden="false" customHeight="false" outlineLevel="0" collapsed="false">
      <c r="A33" s="6" t="s">
        <v>240</v>
      </c>
      <c r="B33" s="8" t="n">
        <v>0</v>
      </c>
    </row>
    <row r="34" customFormat="false" ht="15" hidden="false" customHeight="false" outlineLevel="0" collapsed="false">
      <c r="A34" s="6" t="s">
        <v>241</v>
      </c>
      <c r="B34" s="7" t="str">
        <f aca="false">Abr_Folgeperiode!C28</f>
        <v/>
      </c>
    </row>
    <row r="35" customFormat="false" ht="15" hidden="false" customHeight="false" outlineLevel="0" collapsed="false">
      <c r="A35" s="10" t="s">
        <v>242</v>
      </c>
      <c r="B35" s="36" t="str">
        <f aca="false">IF(B34="","",B34-Perioden!E9*B33)</f>
        <v/>
      </c>
    </row>
    <row r="37" customFormat="false" ht="15" hidden="false" customHeight="false" outlineLevel="0" collapsed="false">
      <c r="A37" s="10" t="s">
        <v>243</v>
      </c>
    </row>
    <row r="38" customFormat="false" ht="15" hidden="false" customHeight="false" outlineLevel="0" collapsed="false">
      <c r="A38" s="4" t="s">
        <v>244</v>
      </c>
    </row>
    <row r="39" customFormat="false" ht="15" hidden="false" customHeight="false" outlineLevel="0" collapsed="false">
      <c r="A39" s="4" t="s">
        <v>245</v>
      </c>
    </row>
    <row r="40" customFormat="false" ht="15" hidden="false" customHeight="false" outlineLevel="0" collapsed="false">
      <c r="A40" s="4" t="s">
        <v>246</v>
      </c>
    </row>
    <row r="41" customFormat="false" ht="15" hidden="false" customHeight="false" outlineLevel="0" collapsed="false">
      <c r="A41" s="4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4" t="s">
        <v>249</v>
      </c>
    </row>
    <row r="4" customFormat="false" ht="31.5" hidden="false" customHeight="true" outlineLevel="0" collapsed="false">
      <c r="A4" s="5" t="s">
        <v>250</v>
      </c>
      <c r="B4" s="5" t="s">
        <v>251</v>
      </c>
      <c r="C4" s="5" t="s">
        <v>252</v>
      </c>
      <c r="D4" s="5" t="s">
        <v>124</v>
      </c>
      <c r="E4" s="5" t="s">
        <v>253</v>
      </c>
      <c r="F4" s="5" t="s">
        <v>254</v>
      </c>
    </row>
    <row r="5" customFormat="false" ht="15" hidden="false" customHeight="false" outlineLevel="0" collapsed="false">
      <c r="A5" s="13" t="str">
        <f aca="false">Perioden!$A$6</f>
        <v>P1</v>
      </c>
      <c r="B5" s="37" t="n">
        <v>1</v>
      </c>
      <c r="C5" s="38" t="n">
        <f aca="false">IF(B5&lt;=Perioden!$E$6,EDATE(Perioden!$C$6,B5-1),"")</f>
        <v>45323</v>
      </c>
      <c r="D5" s="37" t="n">
        <f aca="false">IF(C5="","",YEAR(C5))</f>
        <v>2024</v>
      </c>
      <c r="E5" s="22" t="n">
        <f aca="false">IF(C5="",0,INDEX(Kosten!$B$21:$B$27,MATCH(D5,Kosten!$A$21:$A$27,0)))</f>
        <v>7.63</v>
      </c>
      <c r="F5" s="22" t="n">
        <f aca="false">IF(C5="",0,INDEX(Kosten!$D$21:$D$27,MATCH(D5,Kosten!$A$21:$A$27,0)))</f>
        <v>6.08</v>
      </c>
    </row>
    <row r="6" customFormat="false" ht="15" hidden="false" customHeight="false" outlineLevel="0" collapsed="false">
      <c r="A6" s="13" t="str">
        <f aca="false">Perioden!$A$6</f>
        <v>P1</v>
      </c>
      <c r="B6" s="37" t="n">
        <v>2</v>
      </c>
      <c r="C6" s="38" t="n">
        <f aca="false">IF(B6&lt;=Perioden!$E$6,EDATE(Perioden!$C$6,B6-1),"")</f>
        <v>45352</v>
      </c>
      <c r="D6" s="37" t="n">
        <f aca="false">IF(C6="","",YEAR(C6))</f>
        <v>2024</v>
      </c>
      <c r="E6" s="22" t="n">
        <f aca="false">IF(C6="",0,INDEX(Kosten!$B$21:$B$27,MATCH(D6,Kosten!$A$21:$A$27,0)))</f>
        <v>7.63</v>
      </c>
      <c r="F6" s="22" t="n">
        <f aca="false">IF(C6="",0,INDEX(Kosten!$D$21:$D$27,MATCH(D6,Kosten!$A$21:$A$27,0)))</f>
        <v>6.08</v>
      </c>
    </row>
    <row r="7" customFormat="false" ht="15" hidden="false" customHeight="false" outlineLevel="0" collapsed="false">
      <c r="A7" s="13" t="str">
        <f aca="false">Perioden!$A$6</f>
        <v>P1</v>
      </c>
      <c r="B7" s="37" t="n">
        <v>3</v>
      </c>
      <c r="C7" s="38" t="n">
        <f aca="false">IF(B7&lt;=Perioden!$E$6,EDATE(Perioden!$C$6,B7-1),"")</f>
        <v>45383</v>
      </c>
      <c r="D7" s="37" t="n">
        <f aca="false">IF(C7="","",YEAR(C7))</f>
        <v>2024</v>
      </c>
      <c r="E7" s="22" t="n">
        <f aca="false">IF(C7="",0,INDEX(Kosten!$B$21:$B$27,MATCH(D7,Kosten!$A$21:$A$27,0)))</f>
        <v>7.63</v>
      </c>
      <c r="F7" s="22" t="n">
        <f aca="false">IF(C7="",0,INDEX(Kosten!$D$21:$D$27,MATCH(D7,Kosten!$A$21:$A$27,0)))</f>
        <v>6.08</v>
      </c>
    </row>
    <row r="8" customFormat="false" ht="15" hidden="false" customHeight="false" outlineLevel="0" collapsed="false">
      <c r="A8" s="13" t="str">
        <f aca="false">Perioden!$A$6</f>
        <v>P1</v>
      </c>
      <c r="B8" s="37" t="n">
        <v>4</v>
      </c>
      <c r="C8" s="38" t="n">
        <f aca="false">IF(B8&lt;=Perioden!$E$6,EDATE(Perioden!$C$6,B8-1),"")</f>
        <v>45413</v>
      </c>
      <c r="D8" s="37" t="n">
        <f aca="false">IF(C8="","",YEAR(C8))</f>
        <v>2024</v>
      </c>
      <c r="E8" s="22" t="n">
        <f aca="false">IF(C8="",0,INDEX(Kosten!$B$21:$B$27,MATCH(D8,Kosten!$A$21:$A$27,0)))</f>
        <v>7.63</v>
      </c>
      <c r="F8" s="22" t="n">
        <f aca="false">IF(C8="",0,INDEX(Kosten!$D$21:$D$27,MATCH(D8,Kosten!$A$21:$A$27,0)))</f>
        <v>6.08</v>
      </c>
    </row>
    <row r="9" customFormat="false" ht="15" hidden="false" customHeight="false" outlineLevel="0" collapsed="false">
      <c r="A9" s="13" t="str">
        <f aca="false">Perioden!$A$6</f>
        <v>P1</v>
      </c>
      <c r="B9" s="37" t="n">
        <v>5</v>
      </c>
      <c r="C9" s="38" t="n">
        <f aca="false">IF(B9&lt;=Perioden!$E$6,EDATE(Perioden!$C$6,B9-1),"")</f>
        <v>45444</v>
      </c>
      <c r="D9" s="37" t="n">
        <f aca="false">IF(C9="","",YEAR(C9))</f>
        <v>2024</v>
      </c>
      <c r="E9" s="22" t="n">
        <f aca="false">IF(C9="",0,INDEX(Kosten!$B$21:$B$27,MATCH(D9,Kosten!$A$21:$A$27,0)))</f>
        <v>7.63</v>
      </c>
      <c r="F9" s="22" t="n">
        <f aca="false">IF(C9="",0,INDEX(Kosten!$D$21:$D$27,MATCH(D9,Kosten!$A$21:$A$27,0)))</f>
        <v>6.08</v>
      </c>
    </row>
    <row r="10" customFormat="false" ht="15" hidden="false" customHeight="false" outlineLevel="0" collapsed="false">
      <c r="A10" s="13" t="str">
        <f aca="false">Perioden!$A$6</f>
        <v>P1</v>
      </c>
      <c r="B10" s="37" t="n">
        <v>6</v>
      </c>
      <c r="C10" s="38" t="n">
        <f aca="false">IF(B10&lt;=Perioden!$E$6,EDATE(Perioden!$C$6,B10-1),"")</f>
        <v>45474</v>
      </c>
      <c r="D10" s="37" t="n">
        <f aca="false">IF(C10="","",YEAR(C10))</f>
        <v>2024</v>
      </c>
      <c r="E10" s="22" t="n">
        <f aca="false">IF(C10="",0,INDEX(Kosten!$B$21:$B$27,MATCH(D10,Kosten!$A$21:$A$27,0)))</f>
        <v>7.63</v>
      </c>
      <c r="F10" s="22" t="n">
        <f aca="false">IF(C10="",0,INDEX(Kosten!$D$21:$D$27,MATCH(D10,Kosten!$A$21:$A$27,0)))</f>
        <v>6.08</v>
      </c>
    </row>
    <row r="11" customFormat="false" ht="15" hidden="false" customHeight="false" outlineLevel="0" collapsed="false">
      <c r="A11" s="13" t="str">
        <f aca="false">Perioden!$A$6</f>
        <v>P1</v>
      </c>
      <c r="B11" s="37" t="n">
        <v>7</v>
      </c>
      <c r="C11" s="38" t="n">
        <f aca="false">IF(B11&lt;=Perioden!$E$6,EDATE(Perioden!$C$6,B11-1),"")</f>
        <v>45505</v>
      </c>
      <c r="D11" s="37" t="n">
        <f aca="false">IF(C11="","",YEAR(C11))</f>
        <v>2024</v>
      </c>
      <c r="E11" s="22" t="n">
        <f aca="false">IF(C11="",0,INDEX(Kosten!$B$21:$B$27,MATCH(D11,Kosten!$A$21:$A$27,0)))</f>
        <v>7.63</v>
      </c>
      <c r="F11" s="22" t="n">
        <f aca="false">IF(C11="",0,INDEX(Kosten!$D$21:$D$27,MATCH(D11,Kosten!$A$21:$A$27,0)))</f>
        <v>6.08</v>
      </c>
    </row>
    <row r="12" customFormat="false" ht="15" hidden="false" customHeight="false" outlineLevel="0" collapsed="false">
      <c r="A12" s="13" t="str">
        <f aca="false">Perioden!$A$6</f>
        <v>P1</v>
      </c>
      <c r="B12" s="37" t="n">
        <v>8</v>
      </c>
      <c r="C12" s="38" t="n">
        <f aca="false">IF(B12&lt;=Perioden!$E$6,EDATE(Perioden!$C$6,B12-1),"")</f>
        <v>45536</v>
      </c>
      <c r="D12" s="37" t="n">
        <f aca="false">IF(C12="","",YEAR(C12))</f>
        <v>2024</v>
      </c>
      <c r="E12" s="22" t="n">
        <f aca="false">IF(C12="",0,INDEX(Kosten!$B$21:$B$27,MATCH(D12,Kosten!$A$21:$A$27,0)))</f>
        <v>7.63</v>
      </c>
      <c r="F12" s="22" t="n">
        <f aca="false">IF(C12="",0,INDEX(Kosten!$D$21:$D$27,MATCH(D12,Kosten!$A$21:$A$27,0)))</f>
        <v>6.08</v>
      </c>
    </row>
    <row r="13" customFormat="false" ht="15" hidden="false" customHeight="false" outlineLevel="0" collapsed="false">
      <c r="A13" s="13" t="str">
        <f aca="false">Perioden!$A$6</f>
        <v>P1</v>
      </c>
      <c r="B13" s="37" t="n">
        <v>9</v>
      </c>
      <c r="C13" s="38" t="n">
        <f aca="false">IF(B13&lt;=Perioden!$E$6,EDATE(Perioden!$C$6,B13-1),"")</f>
        <v>45566</v>
      </c>
      <c r="D13" s="37" t="n">
        <f aca="false">IF(C13="","",YEAR(C13))</f>
        <v>2024</v>
      </c>
      <c r="E13" s="22" t="n">
        <f aca="false">IF(C13="",0,INDEX(Kosten!$B$21:$B$27,MATCH(D13,Kosten!$A$21:$A$27,0)))</f>
        <v>7.63</v>
      </c>
      <c r="F13" s="22" t="n">
        <f aca="false">IF(C13="",0,INDEX(Kosten!$D$21:$D$27,MATCH(D13,Kosten!$A$21:$A$27,0)))</f>
        <v>6.08</v>
      </c>
    </row>
    <row r="14" customFormat="false" ht="15" hidden="false" customHeight="false" outlineLevel="0" collapsed="false">
      <c r="A14" s="13" t="str">
        <f aca="false">Perioden!$A$6</f>
        <v>P1</v>
      </c>
      <c r="B14" s="37" t="n">
        <v>10</v>
      </c>
      <c r="C14" s="38" t="n">
        <f aca="false">IF(B14&lt;=Perioden!$E$6,EDATE(Perioden!$C$6,B14-1),"")</f>
        <v>45597</v>
      </c>
      <c r="D14" s="37" t="n">
        <f aca="false">IF(C14="","",YEAR(C14))</f>
        <v>2024</v>
      </c>
      <c r="E14" s="22" t="n">
        <f aca="false">IF(C14="",0,INDEX(Kosten!$B$21:$B$27,MATCH(D14,Kosten!$A$21:$A$27,0)))</f>
        <v>7.63</v>
      </c>
      <c r="F14" s="22" t="n">
        <f aca="false">IF(C14="",0,INDEX(Kosten!$D$21:$D$27,MATCH(D14,Kosten!$A$21:$A$27,0)))</f>
        <v>6.08</v>
      </c>
    </row>
    <row r="15" customFormat="false" ht="15" hidden="false" customHeight="false" outlineLevel="0" collapsed="false">
      <c r="A15" s="13" t="str">
        <f aca="false">Perioden!$A$6</f>
        <v>P1</v>
      </c>
      <c r="B15" s="37" t="n">
        <v>11</v>
      </c>
      <c r="C15" s="38" t="n">
        <f aca="false">IF(B15&lt;=Perioden!$E$6,EDATE(Perioden!$C$6,B15-1),"")</f>
        <v>45627</v>
      </c>
      <c r="D15" s="37" t="n">
        <f aca="false">IF(C15="","",YEAR(C15))</f>
        <v>2024</v>
      </c>
      <c r="E15" s="22" t="n">
        <f aca="false">IF(C15="",0,INDEX(Kosten!$B$21:$B$27,MATCH(D15,Kosten!$A$21:$A$27,0)))</f>
        <v>7.63</v>
      </c>
      <c r="F15" s="22" t="n">
        <f aca="false">IF(C15="",0,INDEX(Kosten!$D$21:$D$27,MATCH(D15,Kosten!$A$21:$A$27,0)))</f>
        <v>6.08</v>
      </c>
    </row>
    <row r="16" customFormat="false" ht="15" hidden="false" customHeight="false" outlineLevel="0" collapsed="false">
      <c r="A16" s="13" t="str">
        <f aca="false">Perioden!$A$6</f>
        <v>P1</v>
      </c>
      <c r="B16" s="37" t="n">
        <v>12</v>
      </c>
      <c r="C16" s="38" t="n">
        <f aca="false">IF(B16&lt;=Perioden!$E$6,EDATE(Perioden!$C$6,B16-1),"")</f>
        <v>45658</v>
      </c>
      <c r="D16" s="37" t="n">
        <f aca="false">IF(C16="","",YEAR(C16))</f>
        <v>2025</v>
      </c>
      <c r="E16" s="22" t="n">
        <f aca="false">IF(C16="",0,INDEX(Kosten!$B$21:$B$27,MATCH(D16,Kosten!$A$21:$A$27,0)))</f>
        <v>7.44</v>
      </c>
      <c r="F16" s="22" t="n">
        <f aca="false">IF(C16="",0,INDEX(Kosten!$D$21:$D$27,MATCH(D16,Kosten!$A$21:$A$27,0)))</f>
        <v>4.97</v>
      </c>
    </row>
    <row r="17" customFormat="false" ht="15" hidden="false" customHeight="false" outlineLevel="0" collapsed="false">
      <c r="A17" s="13" t="str">
        <f aca="false">Perioden!$A$6</f>
        <v>P1</v>
      </c>
      <c r="B17" s="37" t="n">
        <v>13</v>
      </c>
      <c r="C17" s="38" t="n">
        <f aca="false">IF(B17&lt;=Perioden!$E$6,EDATE(Perioden!$C$6,B17-1),"")</f>
        <v>45689</v>
      </c>
      <c r="D17" s="37" t="n">
        <f aca="false">IF(C17="","",YEAR(C17))</f>
        <v>2025</v>
      </c>
      <c r="E17" s="22" t="n">
        <f aca="false">IF(C17="",0,INDEX(Kosten!$B$21:$B$27,MATCH(D17,Kosten!$A$21:$A$27,0)))</f>
        <v>7.44</v>
      </c>
      <c r="F17" s="22" t="n">
        <f aca="false">IF(C17="",0,INDEX(Kosten!$D$21:$D$27,MATCH(D17,Kosten!$A$21:$A$27,0)))</f>
        <v>4.97</v>
      </c>
    </row>
    <row r="18" customFormat="false" ht="15" hidden="false" customHeight="false" outlineLevel="0" collapsed="false">
      <c r="A18" s="13" t="str">
        <f aca="false">Perioden!$A$6</f>
        <v>P1</v>
      </c>
      <c r="B18" s="37" t="n">
        <v>14</v>
      </c>
      <c r="C18" s="38" t="n">
        <f aca="false">IF(B18&lt;=Perioden!$E$6,EDATE(Perioden!$C$6,B18-1),"")</f>
        <v>45717</v>
      </c>
      <c r="D18" s="37" t="n">
        <f aca="false">IF(C18="","",YEAR(C18))</f>
        <v>2025</v>
      </c>
      <c r="E18" s="22" t="n">
        <f aca="false">IF(C18="",0,INDEX(Kosten!$B$21:$B$27,MATCH(D18,Kosten!$A$21:$A$27,0)))</f>
        <v>7.44</v>
      </c>
      <c r="F18" s="22" t="n">
        <f aca="false">IF(C18="",0,INDEX(Kosten!$D$21:$D$27,MATCH(D18,Kosten!$A$21:$A$27,0)))</f>
        <v>4.97</v>
      </c>
    </row>
    <row r="19" customFormat="false" ht="15" hidden="false" customHeight="false" outlineLevel="0" collapsed="false">
      <c r="A19" s="13" t="str">
        <f aca="false">Perioden!$A$6</f>
        <v>P1</v>
      </c>
      <c r="B19" s="37" t="n">
        <v>15</v>
      </c>
      <c r="C19" s="38" t="n">
        <f aca="false">IF(B19&lt;=Perioden!$E$6,EDATE(Perioden!$C$6,B19-1),"")</f>
        <v>45748</v>
      </c>
      <c r="D19" s="37" t="n">
        <f aca="false">IF(C19="","",YEAR(C19))</f>
        <v>2025</v>
      </c>
      <c r="E19" s="22" t="n">
        <f aca="false">IF(C19="",0,INDEX(Kosten!$B$21:$B$27,MATCH(D19,Kosten!$A$21:$A$27,0)))</f>
        <v>7.44</v>
      </c>
      <c r="F19" s="22" t="n">
        <f aca="false">IF(C19="",0,INDEX(Kosten!$D$21:$D$27,MATCH(D19,Kosten!$A$21:$A$27,0)))</f>
        <v>4.97</v>
      </c>
    </row>
    <row r="20" customFormat="false" ht="15" hidden="false" customHeight="false" outlineLevel="0" collapsed="false">
      <c r="A20" s="13" t="str">
        <f aca="false">Perioden!$A$6</f>
        <v>P1</v>
      </c>
      <c r="B20" s="37" t="n">
        <v>16</v>
      </c>
      <c r="C20" s="38" t="str">
        <f aca="false">IF(B20&lt;=Perioden!$E$6,EDATE(Perioden!$C$6,B20-1),"")</f>
        <v/>
      </c>
      <c r="D20" s="37" t="str">
        <f aca="false">IF(C20="","",YEAR(C20))</f>
        <v/>
      </c>
      <c r="E20" s="22" t="n">
        <f aca="false">IF(C20="",0,INDEX(Kosten!$B$21:$B$27,MATCH(D20,Kosten!$A$21:$A$27,0)))</f>
        <v>0</v>
      </c>
      <c r="F20" s="22" t="n">
        <f aca="false">IF(C20="",0,INDEX(Kosten!$D$21:$D$27,MATCH(D20,Kosten!$A$21:$A$27,0)))</f>
        <v>0</v>
      </c>
    </row>
    <row r="21" customFormat="false" ht="15" hidden="false" customHeight="false" outlineLevel="0" collapsed="false">
      <c r="A21" s="13" t="str">
        <f aca="false">Perioden!$A$6</f>
        <v>P1</v>
      </c>
      <c r="B21" s="37" t="n">
        <v>17</v>
      </c>
      <c r="C21" s="38" t="str">
        <f aca="false">IF(B21&lt;=Perioden!$E$6,EDATE(Perioden!$C$6,B21-1),"")</f>
        <v/>
      </c>
      <c r="D21" s="37" t="str">
        <f aca="false">IF(C21="","",YEAR(C21))</f>
        <v/>
      </c>
      <c r="E21" s="22" t="n">
        <f aca="false">IF(C21="",0,INDEX(Kosten!$B$21:$B$27,MATCH(D21,Kosten!$A$21:$A$27,0)))</f>
        <v>0</v>
      </c>
      <c r="F21" s="22" t="n">
        <f aca="false">IF(C21="",0,INDEX(Kosten!$D$21:$D$27,MATCH(D21,Kosten!$A$21:$A$27,0)))</f>
        <v>0</v>
      </c>
    </row>
    <row r="22" customFormat="false" ht="15" hidden="false" customHeight="false" outlineLevel="0" collapsed="false">
      <c r="A22" s="13" t="str">
        <f aca="false">Perioden!$A$6</f>
        <v>P1</v>
      </c>
      <c r="B22" s="37" t="n">
        <v>18</v>
      </c>
      <c r="C22" s="38" t="str">
        <f aca="false">IF(B22&lt;=Perioden!$E$6,EDATE(Perioden!$C$6,B22-1),"")</f>
        <v/>
      </c>
      <c r="D22" s="37" t="str">
        <f aca="false">IF(C22="","",YEAR(C22))</f>
        <v/>
      </c>
      <c r="E22" s="22" t="n">
        <f aca="false">IF(C22="",0,INDEX(Kosten!$B$21:$B$27,MATCH(D22,Kosten!$A$21:$A$27,0)))</f>
        <v>0</v>
      </c>
      <c r="F22" s="22" t="n">
        <f aca="false">IF(C22="",0,INDEX(Kosten!$D$21:$D$27,MATCH(D22,Kosten!$A$21:$A$27,0)))</f>
        <v>0</v>
      </c>
    </row>
    <row r="23" customFormat="false" ht="15" hidden="false" customHeight="false" outlineLevel="0" collapsed="false">
      <c r="A23" s="13" t="str">
        <f aca="false">Perioden!$A$6</f>
        <v>P1</v>
      </c>
      <c r="B23" s="37" t="n">
        <v>19</v>
      </c>
      <c r="C23" s="38" t="str">
        <f aca="false">IF(B23&lt;=Perioden!$E$6,EDATE(Perioden!$C$6,B23-1),"")</f>
        <v/>
      </c>
      <c r="D23" s="37" t="str">
        <f aca="false">IF(C23="","",YEAR(C23))</f>
        <v/>
      </c>
      <c r="E23" s="22" t="n">
        <f aca="false">IF(C23="",0,INDEX(Kosten!$B$21:$B$27,MATCH(D23,Kosten!$A$21:$A$27,0)))</f>
        <v>0</v>
      </c>
      <c r="F23" s="22" t="n">
        <f aca="false">IF(C23="",0,INDEX(Kosten!$D$21:$D$27,MATCH(D23,Kosten!$A$21:$A$27,0)))</f>
        <v>0</v>
      </c>
    </row>
    <row r="24" customFormat="false" ht="15" hidden="false" customHeight="false" outlineLevel="0" collapsed="false">
      <c r="A24" s="13" t="str">
        <f aca="false">Perioden!$A$6</f>
        <v>P1</v>
      </c>
      <c r="B24" s="37" t="n">
        <v>20</v>
      </c>
      <c r="C24" s="38" t="str">
        <f aca="false">IF(B24&lt;=Perioden!$E$6,EDATE(Perioden!$C$6,B24-1),"")</f>
        <v/>
      </c>
      <c r="D24" s="37" t="str">
        <f aca="false">IF(C24="","",YEAR(C24))</f>
        <v/>
      </c>
      <c r="E24" s="22" t="n">
        <f aca="false">IF(C24="",0,INDEX(Kosten!$B$21:$B$27,MATCH(D24,Kosten!$A$21:$A$27,0)))</f>
        <v>0</v>
      </c>
      <c r="F24" s="22" t="n">
        <f aca="false">IF(C24="",0,INDEX(Kosten!$D$21:$D$27,MATCH(D24,Kosten!$A$21:$A$27,0)))</f>
        <v>0</v>
      </c>
    </row>
    <row r="25" customFormat="false" ht="15" hidden="false" customHeight="false" outlineLevel="0" collapsed="false">
      <c r="A25" s="13" t="str">
        <f aca="false">Perioden!$A$6</f>
        <v>P1</v>
      </c>
      <c r="B25" s="37" t="n">
        <v>21</v>
      </c>
      <c r="C25" s="38" t="str">
        <f aca="false">IF(B25&lt;=Perioden!$E$6,EDATE(Perioden!$C$6,B25-1),"")</f>
        <v/>
      </c>
      <c r="D25" s="37" t="str">
        <f aca="false">IF(C25="","",YEAR(C25))</f>
        <v/>
      </c>
      <c r="E25" s="22" t="n">
        <f aca="false">IF(C25="",0,INDEX(Kosten!$B$21:$B$27,MATCH(D25,Kosten!$A$21:$A$27,0)))</f>
        <v>0</v>
      </c>
      <c r="F25" s="22" t="n">
        <f aca="false">IF(C25="",0,INDEX(Kosten!$D$21:$D$27,MATCH(D25,Kosten!$A$21:$A$27,0)))</f>
        <v>0</v>
      </c>
    </row>
    <row r="26" customFormat="false" ht="15" hidden="false" customHeight="false" outlineLevel="0" collapsed="false">
      <c r="A26" s="13" t="str">
        <f aca="false">Perioden!$A$6</f>
        <v>P1</v>
      </c>
      <c r="B26" s="37" t="n">
        <v>22</v>
      </c>
      <c r="C26" s="38" t="str">
        <f aca="false">IF(B26&lt;=Perioden!$E$6,EDATE(Perioden!$C$6,B26-1),"")</f>
        <v/>
      </c>
      <c r="D26" s="37" t="str">
        <f aca="false">IF(C26="","",YEAR(C26))</f>
        <v/>
      </c>
      <c r="E26" s="22" t="n">
        <f aca="false">IF(C26="",0,INDEX(Kosten!$B$21:$B$27,MATCH(D26,Kosten!$A$21:$A$27,0)))</f>
        <v>0</v>
      </c>
      <c r="F26" s="22" t="n">
        <f aca="false">IF(C26="",0,INDEX(Kosten!$D$21:$D$27,MATCH(D26,Kosten!$A$21:$A$27,0)))</f>
        <v>0</v>
      </c>
    </row>
    <row r="27" customFormat="false" ht="15" hidden="false" customHeight="false" outlineLevel="0" collapsed="false">
      <c r="A27" s="13" t="str">
        <f aca="false">Perioden!$A$6</f>
        <v>P1</v>
      </c>
      <c r="B27" s="37" t="n">
        <v>23</v>
      </c>
      <c r="C27" s="38" t="str">
        <f aca="false">IF(B27&lt;=Perioden!$E$6,EDATE(Perioden!$C$6,B27-1),"")</f>
        <v/>
      </c>
      <c r="D27" s="37" t="str">
        <f aca="false">IF(C27="","",YEAR(C27))</f>
        <v/>
      </c>
      <c r="E27" s="22" t="n">
        <f aca="false">IF(C27="",0,INDEX(Kosten!$B$21:$B$27,MATCH(D27,Kosten!$A$21:$A$27,0)))</f>
        <v>0</v>
      </c>
      <c r="F27" s="22" t="n">
        <f aca="false">IF(C27="",0,INDEX(Kosten!$D$21:$D$27,MATCH(D27,Kosten!$A$21:$A$27,0)))</f>
        <v>0</v>
      </c>
    </row>
    <row r="28" customFormat="false" ht="15" hidden="false" customHeight="false" outlineLevel="0" collapsed="false">
      <c r="A28" s="13" t="str">
        <f aca="false">Perioden!$A$6</f>
        <v>P1</v>
      </c>
      <c r="B28" s="37" t="n">
        <v>24</v>
      </c>
      <c r="C28" s="38" t="str">
        <f aca="false">IF(B28&lt;=Perioden!$E$6,EDATE(Perioden!$C$6,B28-1),"")</f>
        <v/>
      </c>
      <c r="D28" s="37" t="str">
        <f aca="false">IF(C28="","",YEAR(C28))</f>
        <v/>
      </c>
      <c r="E28" s="22" t="n">
        <f aca="false">IF(C28="",0,INDEX(Kosten!$B$21:$B$27,MATCH(D28,Kosten!$A$21:$A$27,0)))</f>
        <v>0</v>
      </c>
      <c r="F28" s="22" t="n">
        <f aca="false">IF(C28="",0,INDEX(Kosten!$D$21:$D$27,MATCH(D28,Kosten!$A$21:$A$27,0)))</f>
        <v>0</v>
      </c>
    </row>
    <row r="29" customFormat="false" ht="15" hidden="false" customHeight="false" outlineLevel="0" collapsed="false">
      <c r="A29" s="13" t="str">
        <f aca="false">Perioden!$A$7</f>
        <v>LEER</v>
      </c>
      <c r="B29" s="37" t="n">
        <v>1</v>
      </c>
      <c r="C29" s="38" t="n">
        <f aca="false">IF(B29&lt;=Perioden!$E$7,EDATE(Perioden!$C$7,B29-1),"")</f>
        <v>45778</v>
      </c>
      <c r="D29" s="37" t="n">
        <f aca="false">IF(C29="","",YEAR(C29))</f>
        <v>2025</v>
      </c>
      <c r="E29" s="22" t="n">
        <f aca="false">IF(C29="",0,INDEX(Kosten!$B$21:$B$27,MATCH(D29,Kosten!$A$21:$A$27,0)))</f>
        <v>7.44</v>
      </c>
      <c r="F29" s="22" t="n">
        <f aca="false">IF(C29="",0,INDEX(Kosten!$D$21:$D$27,MATCH(D29,Kosten!$A$21:$A$27,0)))</f>
        <v>4.97</v>
      </c>
    </row>
    <row r="30" customFormat="false" ht="15" hidden="false" customHeight="false" outlineLevel="0" collapsed="false">
      <c r="A30" s="13" t="str">
        <f aca="false">Perioden!$A$7</f>
        <v>LEER</v>
      </c>
      <c r="B30" s="37" t="n">
        <v>2</v>
      </c>
      <c r="C30" s="38" t="n">
        <f aca="false">IF(B30&lt;=Perioden!$E$7,EDATE(Perioden!$C$7,B30-1),"")</f>
        <v>45809</v>
      </c>
      <c r="D30" s="37" t="n">
        <f aca="false">IF(C30="","",YEAR(C30))</f>
        <v>2025</v>
      </c>
      <c r="E30" s="22" t="n">
        <f aca="false">IF(C30="",0,INDEX(Kosten!$B$21:$B$27,MATCH(D30,Kosten!$A$21:$A$27,0)))</f>
        <v>7.44</v>
      </c>
      <c r="F30" s="22" t="n">
        <f aca="false">IF(C30="",0,INDEX(Kosten!$D$21:$D$27,MATCH(D30,Kosten!$A$21:$A$27,0)))</f>
        <v>4.97</v>
      </c>
    </row>
    <row r="31" customFormat="false" ht="15" hidden="false" customHeight="false" outlineLevel="0" collapsed="false">
      <c r="A31" s="13" t="str">
        <f aca="false">Perioden!$A$7</f>
        <v>LEER</v>
      </c>
      <c r="B31" s="37" t="n">
        <v>3</v>
      </c>
      <c r="C31" s="38" t="n">
        <f aca="false">IF(B31&lt;=Perioden!$E$7,EDATE(Perioden!$C$7,B31-1),"")</f>
        <v>45839</v>
      </c>
      <c r="D31" s="37" t="n">
        <f aca="false">IF(C31="","",YEAR(C31))</f>
        <v>2025</v>
      </c>
      <c r="E31" s="22" t="n">
        <f aca="false">IF(C31="",0,INDEX(Kosten!$B$21:$B$27,MATCH(D31,Kosten!$A$21:$A$27,0)))</f>
        <v>7.44</v>
      </c>
      <c r="F31" s="22" t="n">
        <f aca="false">IF(C31="",0,INDEX(Kosten!$D$21:$D$27,MATCH(D31,Kosten!$A$21:$A$27,0)))</f>
        <v>4.97</v>
      </c>
    </row>
    <row r="32" customFormat="false" ht="15" hidden="false" customHeight="false" outlineLevel="0" collapsed="false">
      <c r="A32" s="13" t="str">
        <f aca="false">Perioden!$A$7</f>
        <v>LEER</v>
      </c>
      <c r="B32" s="37" t="n">
        <v>4</v>
      </c>
      <c r="C32" s="38" t="str">
        <f aca="false">IF(B32&lt;=Perioden!$E$7,EDATE(Perioden!$C$7,B32-1),"")</f>
        <v/>
      </c>
      <c r="D32" s="37" t="str">
        <f aca="false">IF(C32="","",YEAR(C32))</f>
        <v/>
      </c>
      <c r="E32" s="22" t="n">
        <f aca="false">IF(C32="",0,INDEX(Kosten!$B$21:$B$27,MATCH(D32,Kosten!$A$21:$A$27,0)))</f>
        <v>0</v>
      </c>
      <c r="F32" s="22" t="n">
        <f aca="false">IF(C32="",0,INDEX(Kosten!$D$21:$D$27,MATCH(D32,Kosten!$A$21:$A$27,0)))</f>
        <v>0</v>
      </c>
    </row>
    <row r="33" customFormat="false" ht="15" hidden="false" customHeight="false" outlineLevel="0" collapsed="false">
      <c r="A33" s="13" t="str">
        <f aca="false">Perioden!$A$7</f>
        <v>LEER</v>
      </c>
      <c r="B33" s="37" t="n">
        <v>5</v>
      </c>
      <c r="C33" s="38" t="str">
        <f aca="false">IF(B33&lt;=Perioden!$E$7,EDATE(Perioden!$C$7,B33-1),"")</f>
        <v/>
      </c>
      <c r="D33" s="37" t="str">
        <f aca="false">IF(C33="","",YEAR(C33))</f>
        <v/>
      </c>
      <c r="E33" s="22" t="n">
        <f aca="false">IF(C33="",0,INDEX(Kosten!$B$21:$B$27,MATCH(D33,Kosten!$A$21:$A$27,0)))</f>
        <v>0</v>
      </c>
      <c r="F33" s="22" t="n">
        <f aca="false">IF(C33="",0,INDEX(Kosten!$D$21:$D$27,MATCH(D33,Kosten!$A$21:$A$27,0)))</f>
        <v>0</v>
      </c>
    </row>
    <row r="34" customFormat="false" ht="15" hidden="false" customHeight="false" outlineLevel="0" collapsed="false">
      <c r="A34" s="13" t="str">
        <f aca="false">Perioden!$A$7</f>
        <v>LEER</v>
      </c>
      <c r="B34" s="37" t="n">
        <v>6</v>
      </c>
      <c r="C34" s="38" t="str">
        <f aca="false">IF(B34&lt;=Perioden!$E$7,EDATE(Perioden!$C$7,B34-1),"")</f>
        <v/>
      </c>
      <c r="D34" s="37" t="str">
        <f aca="false">IF(C34="","",YEAR(C34))</f>
        <v/>
      </c>
      <c r="E34" s="22" t="n">
        <f aca="false">IF(C34="",0,INDEX(Kosten!$B$21:$B$27,MATCH(D34,Kosten!$A$21:$A$27,0)))</f>
        <v>0</v>
      </c>
      <c r="F34" s="22" t="n">
        <f aca="false">IF(C34="",0,INDEX(Kosten!$D$21:$D$27,MATCH(D34,Kosten!$A$21:$A$27,0)))</f>
        <v>0</v>
      </c>
    </row>
    <row r="35" customFormat="false" ht="15" hidden="false" customHeight="false" outlineLevel="0" collapsed="false">
      <c r="A35" s="13" t="str">
        <f aca="false">Perioden!$A$7</f>
        <v>LEER</v>
      </c>
      <c r="B35" s="37" t="n">
        <v>7</v>
      </c>
      <c r="C35" s="38" t="str">
        <f aca="false">IF(B35&lt;=Perioden!$E$7,EDATE(Perioden!$C$7,B35-1),"")</f>
        <v/>
      </c>
      <c r="D35" s="37" t="str">
        <f aca="false">IF(C35="","",YEAR(C35))</f>
        <v/>
      </c>
      <c r="E35" s="22" t="n">
        <f aca="false">IF(C35="",0,INDEX(Kosten!$B$21:$B$27,MATCH(D35,Kosten!$A$21:$A$27,0)))</f>
        <v>0</v>
      </c>
      <c r="F35" s="22" t="n">
        <f aca="false">IF(C35="",0,INDEX(Kosten!$D$21:$D$27,MATCH(D35,Kosten!$A$21:$A$27,0)))</f>
        <v>0</v>
      </c>
    </row>
    <row r="36" customFormat="false" ht="15" hidden="false" customHeight="false" outlineLevel="0" collapsed="false">
      <c r="A36" s="13" t="str">
        <f aca="false">Perioden!$A$7</f>
        <v>LEER</v>
      </c>
      <c r="B36" s="37" t="n">
        <v>8</v>
      </c>
      <c r="C36" s="38" t="str">
        <f aca="false">IF(B36&lt;=Perioden!$E$7,EDATE(Perioden!$C$7,B36-1),"")</f>
        <v/>
      </c>
      <c r="D36" s="37" t="str">
        <f aca="false">IF(C36="","",YEAR(C36))</f>
        <v/>
      </c>
      <c r="E36" s="22" t="n">
        <f aca="false">IF(C36="",0,INDEX(Kosten!$B$21:$B$27,MATCH(D36,Kosten!$A$21:$A$27,0)))</f>
        <v>0</v>
      </c>
      <c r="F36" s="22" t="n">
        <f aca="false">IF(C36="",0,INDEX(Kosten!$D$21:$D$27,MATCH(D36,Kosten!$A$21:$A$27,0)))</f>
        <v>0</v>
      </c>
    </row>
    <row r="37" customFormat="false" ht="15" hidden="false" customHeight="false" outlineLevel="0" collapsed="false">
      <c r="A37" s="13" t="str">
        <f aca="false">Perioden!$A$7</f>
        <v>LEER</v>
      </c>
      <c r="B37" s="37" t="n">
        <v>9</v>
      </c>
      <c r="C37" s="38" t="str">
        <f aca="false">IF(B37&lt;=Perioden!$E$7,EDATE(Perioden!$C$7,B37-1),"")</f>
        <v/>
      </c>
      <c r="D37" s="37" t="str">
        <f aca="false">IF(C37="","",YEAR(C37))</f>
        <v/>
      </c>
      <c r="E37" s="22" t="n">
        <f aca="false">IF(C37="",0,INDEX(Kosten!$B$21:$B$27,MATCH(D37,Kosten!$A$21:$A$27,0)))</f>
        <v>0</v>
      </c>
      <c r="F37" s="22" t="n">
        <f aca="false">IF(C37="",0,INDEX(Kosten!$D$21:$D$27,MATCH(D37,Kosten!$A$21:$A$27,0)))</f>
        <v>0</v>
      </c>
    </row>
    <row r="38" customFormat="false" ht="15" hidden="false" customHeight="false" outlineLevel="0" collapsed="false">
      <c r="A38" s="13" t="str">
        <f aca="false">Perioden!$A$7</f>
        <v>LEER</v>
      </c>
      <c r="B38" s="37" t="n">
        <v>10</v>
      </c>
      <c r="C38" s="38" t="str">
        <f aca="false">IF(B38&lt;=Perioden!$E$7,EDATE(Perioden!$C$7,B38-1),"")</f>
        <v/>
      </c>
      <c r="D38" s="37" t="str">
        <f aca="false">IF(C38="","",YEAR(C38))</f>
        <v/>
      </c>
      <c r="E38" s="22" t="n">
        <f aca="false">IF(C38="",0,INDEX(Kosten!$B$21:$B$27,MATCH(D38,Kosten!$A$21:$A$27,0)))</f>
        <v>0</v>
      </c>
      <c r="F38" s="22" t="n">
        <f aca="false">IF(C38="",0,INDEX(Kosten!$D$21:$D$27,MATCH(D38,Kosten!$A$21:$A$27,0)))</f>
        <v>0</v>
      </c>
    </row>
    <row r="39" customFormat="false" ht="15" hidden="false" customHeight="false" outlineLevel="0" collapsed="false">
      <c r="A39" s="13" t="str">
        <f aca="false">Perioden!$A$7</f>
        <v>LEER</v>
      </c>
      <c r="B39" s="37" t="n">
        <v>11</v>
      </c>
      <c r="C39" s="38" t="str">
        <f aca="false">IF(B39&lt;=Perioden!$E$7,EDATE(Perioden!$C$7,B39-1),"")</f>
        <v/>
      </c>
      <c r="D39" s="37" t="str">
        <f aca="false">IF(C39="","",YEAR(C39))</f>
        <v/>
      </c>
      <c r="E39" s="22" t="n">
        <f aca="false">IF(C39="",0,INDEX(Kosten!$B$21:$B$27,MATCH(D39,Kosten!$A$21:$A$27,0)))</f>
        <v>0</v>
      </c>
      <c r="F39" s="22" t="n">
        <f aca="false">IF(C39="",0,INDEX(Kosten!$D$21:$D$27,MATCH(D39,Kosten!$A$21:$A$27,0)))</f>
        <v>0</v>
      </c>
    </row>
    <row r="40" customFormat="false" ht="15" hidden="false" customHeight="false" outlineLevel="0" collapsed="false">
      <c r="A40" s="13" t="str">
        <f aca="false">Perioden!$A$7</f>
        <v>LEER</v>
      </c>
      <c r="B40" s="37" t="n">
        <v>12</v>
      </c>
      <c r="C40" s="38" t="str">
        <f aca="false">IF(B40&lt;=Perioden!$E$7,EDATE(Perioden!$C$7,B40-1),"")</f>
        <v/>
      </c>
      <c r="D40" s="37" t="str">
        <f aca="false">IF(C40="","",YEAR(C40))</f>
        <v/>
      </c>
      <c r="E40" s="22" t="n">
        <f aca="false">IF(C40="",0,INDEX(Kosten!$B$21:$B$27,MATCH(D40,Kosten!$A$21:$A$27,0)))</f>
        <v>0</v>
      </c>
      <c r="F40" s="22" t="n">
        <f aca="false">IF(C40="",0,INDEX(Kosten!$D$21:$D$27,MATCH(D40,Kosten!$A$21:$A$27,0)))</f>
        <v>0</v>
      </c>
    </row>
    <row r="41" customFormat="false" ht="15" hidden="false" customHeight="false" outlineLevel="0" collapsed="false">
      <c r="A41" s="13" t="str">
        <f aca="false">Perioden!$A$7</f>
        <v>LEER</v>
      </c>
      <c r="B41" s="37" t="n">
        <v>13</v>
      </c>
      <c r="C41" s="38" t="str">
        <f aca="false">IF(B41&lt;=Perioden!$E$7,EDATE(Perioden!$C$7,B41-1),"")</f>
        <v/>
      </c>
      <c r="D41" s="37" t="str">
        <f aca="false">IF(C41="","",YEAR(C41))</f>
        <v/>
      </c>
      <c r="E41" s="22" t="n">
        <f aca="false">IF(C41="",0,INDEX(Kosten!$B$21:$B$27,MATCH(D41,Kosten!$A$21:$A$27,0)))</f>
        <v>0</v>
      </c>
      <c r="F41" s="22" t="n">
        <f aca="false">IF(C41="",0,INDEX(Kosten!$D$21:$D$27,MATCH(D41,Kosten!$A$21:$A$27,0)))</f>
        <v>0</v>
      </c>
    </row>
    <row r="42" customFormat="false" ht="15" hidden="false" customHeight="false" outlineLevel="0" collapsed="false">
      <c r="A42" s="13" t="str">
        <f aca="false">Perioden!$A$7</f>
        <v>LEER</v>
      </c>
      <c r="B42" s="37" t="n">
        <v>14</v>
      </c>
      <c r="C42" s="38" t="str">
        <f aca="false">IF(B42&lt;=Perioden!$E$7,EDATE(Perioden!$C$7,B42-1),"")</f>
        <v/>
      </c>
      <c r="D42" s="37" t="str">
        <f aca="false">IF(C42="","",YEAR(C42))</f>
        <v/>
      </c>
      <c r="E42" s="22" t="n">
        <f aca="false">IF(C42="",0,INDEX(Kosten!$B$21:$B$27,MATCH(D42,Kosten!$A$21:$A$27,0)))</f>
        <v>0</v>
      </c>
      <c r="F42" s="22" t="n">
        <f aca="false">IF(C42="",0,INDEX(Kosten!$D$21:$D$27,MATCH(D42,Kosten!$A$21:$A$27,0)))</f>
        <v>0</v>
      </c>
    </row>
    <row r="43" customFormat="false" ht="15" hidden="false" customHeight="false" outlineLevel="0" collapsed="false">
      <c r="A43" s="13" t="str">
        <f aca="false">Perioden!$A$7</f>
        <v>LEER</v>
      </c>
      <c r="B43" s="37" t="n">
        <v>15</v>
      </c>
      <c r="C43" s="38" t="str">
        <f aca="false">IF(B43&lt;=Perioden!$E$7,EDATE(Perioden!$C$7,B43-1),"")</f>
        <v/>
      </c>
      <c r="D43" s="37" t="str">
        <f aca="false">IF(C43="","",YEAR(C43))</f>
        <v/>
      </c>
      <c r="E43" s="22" t="n">
        <f aca="false">IF(C43="",0,INDEX(Kosten!$B$21:$B$27,MATCH(D43,Kosten!$A$21:$A$27,0)))</f>
        <v>0</v>
      </c>
      <c r="F43" s="22" t="n">
        <f aca="false">IF(C43="",0,INDEX(Kosten!$D$21:$D$27,MATCH(D43,Kosten!$A$21:$A$27,0)))</f>
        <v>0</v>
      </c>
    </row>
    <row r="44" customFormat="false" ht="15" hidden="false" customHeight="false" outlineLevel="0" collapsed="false">
      <c r="A44" s="13" t="str">
        <f aca="false">Perioden!$A$7</f>
        <v>LEER</v>
      </c>
      <c r="B44" s="37" t="n">
        <v>16</v>
      </c>
      <c r="C44" s="38" t="str">
        <f aca="false">IF(B44&lt;=Perioden!$E$7,EDATE(Perioden!$C$7,B44-1),"")</f>
        <v/>
      </c>
      <c r="D44" s="37" t="str">
        <f aca="false">IF(C44="","",YEAR(C44))</f>
        <v/>
      </c>
      <c r="E44" s="22" t="n">
        <f aca="false">IF(C44="",0,INDEX(Kosten!$B$21:$B$27,MATCH(D44,Kosten!$A$21:$A$27,0)))</f>
        <v>0</v>
      </c>
      <c r="F44" s="22" t="n">
        <f aca="false">IF(C44="",0,INDEX(Kosten!$D$21:$D$27,MATCH(D44,Kosten!$A$21:$A$27,0)))</f>
        <v>0</v>
      </c>
    </row>
    <row r="45" customFormat="false" ht="15" hidden="false" customHeight="false" outlineLevel="0" collapsed="false">
      <c r="A45" s="13" t="str">
        <f aca="false">Perioden!$A$7</f>
        <v>LEER</v>
      </c>
      <c r="B45" s="37" t="n">
        <v>17</v>
      </c>
      <c r="C45" s="38" t="str">
        <f aca="false">IF(B45&lt;=Perioden!$E$7,EDATE(Perioden!$C$7,B45-1),"")</f>
        <v/>
      </c>
      <c r="D45" s="37" t="str">
        <f aca="false">IF(C45="","",YEAR(C45))</f>
        <v/>
      </c>
      <c r="E45" s="22" t="n">
        <f aca="false">IF(C45="",0,INDEX(Kosten!$B$21:$B$27,MATCH(D45,Kosten!$A$21:$A$27,0)))</f>
        <v>0</v>
      </c>
      <c r="F45" s="22" t="n">
        <f aca="false">IF(C45="",0,INDEX(Kosten!$D$21:$D$27,MATCH(D45,Kosten!$A$21:$A$27,0)))</f>
        <v>0</v>
      </c>
    </row>
    <row r="46" customFormat="false" ht="15" hidden="false" customHeight="false" outlineLevel="0" collapsed="false">
      <c r="A46" s="13" t="str">
        <f aca="false">Perioden!$A$7</f>
        <v>LEER</v>
      </c>
      <c r="B46" s="37" t="n">
        <v>18</v>
      </c>
      <c r="C46" s="38" t="str">
        <f aca="false">IF(B46&lt;=Perioden!$E$7,EDATE(Perioden!$C$7,B46-1),"")</f>
        <v/>
      </c>
      <c r="D46" s="37" t="str">
        <f aca="false">IF(C46="","",YEAR(C46))</f>
        <v/>
      </c>
      <c r="E46" s="22" t="n">
        <f aca="false">IF(C46="",0,INDEX(Kosten!$B$21:$B$27,MATCH(D46,Kosten!$A$21:$A$27,0)))</f>
        <v>0</v>
      </c>
      <c r="F46" s="22" t="n">
        <f aca="false">IF(C46="",0,INDEX(Kosten!$D$21:$D$27,MATCH(D46,Kosten!$A$21:$A$27,0)))</f>
        <v>0</v>
      </c>
    </row>
    <row r="47" customFormat="false" ht="15" hidden="false" customHeight="false" outlineLevel="0" collapsed="false">
      <c r="A47" s="13" t="str">
        <f aca="false">Perioden!$A$7</f>
        <v>LEER</v>
      </c>
      <c r="B47" s="37" t="n">
        <v>19</v>
      </c>
      <c r="C47" s="38" t="str">
        <f aca="false">IF(B47&lt;=Perioden!$E$7,EDATE(Perioden!$C$7,B47-1),"")</f>
        <v/>
      </c>
      <c r="D47" s="37" t="str">
        <f aca="false">IF(C47="","",YEAR(C47))</f>
        <v/>
      </c>
      <c r="E47" s="22" t="n">
        <f aca="false">IF(C47="",0,INDEX(Kosten!$B$21:$B$27,MATCH(D47,Kosten!$A$21:$A$27,0)))</f>
        <v>0</v>
      </c>
      <c r="F47" s="22" t="n">
        <f aca="false">IF(C47="",0,INDEX(Kosten!$D$21:$D$27,MATCH(D47,Kosten!$A$21:$A$27,0)))</f>
        <v>0</v>
      </c>
    </row>
    <row r="48" customFormat="false" ht="15" hidden="false" customHeight="false" outlineLevel="0" collapsed="false">
      <c r="A48" s="13" t="str">
        <f aca="false">Perioden!$A$7</f>
        <v>LEER</v>
      </c>
      <c r="B48" s="37" t="n">
        <v>20</v>
      </c>
      <c r="C48" s="38" t="str">
        <f aca="false">IF(B48&lt;=Perioden!$E$7,EDATE(Perioden!$C$7,B48-1),"")</f>
        <v/>
      </c>
      <c r="D48" s="37" t="str">
        <f aca="false">IF(C48="","",YEAR(C48))</f>
        <v/>
      </c>
      <c r="E48" s="22" t="n">
        <f aca="false">IF(C48="",0,INDEX(Kosten!$B$21:$B$27,MATCH(D48,Kosten!$A$21:$A$27,0)))</f>
        <v>0</v>
      </c>
      <c r="F48" s="22" t="n">
        <f aca="false">IF(C48="",0,INDEX(Kosten!$D$21:$D$27,MATCH(D48,Kosten!$A$21:$A$27,0)))</f>
        <v>0</v>
      </c>
    </row>
    <row r="49" customFormat="false" ht="15" hidden="false" customHeight="false" outlineLevel="0" collapsed="false">
      <c r="A49" s="13" t="str">
        <f aca="false">Perioden!$A$7</f>
        <v>LEER</v>
      </c>
      <c r="B49" s="37" t="n">
        <v>21</v>
      </c>
      <c r="C49" s="38" t="str">
        <f aca="false">IF(B49&lt;=Perioden!$E$7,EDATE(Perioden!$C$7,B49-1),"")</f>
        <v/>
      </c>
      <c r="D49" s="37" t="str">
        <f aca="false">IF(C49="","",YEAR(C49))</f>
        <v/>
      </c>
      <c r="E49" s="22" t="n">
        <f aca="false">IF(C49="",0,INDEX(Kosten!$B$21:$B$27,MATCH(D49,Kosten!$A$21:$A$27,0)))</f>
        <v>0</v>
      </c>
      <c r="F49" s="22" t="n">
        <f aca="false">IF(C49="",0,INDEX(Kosten!$D$21:$D$27,MATCH(D49,Kosten!$A$21:$A$27,0)))</f>
        <v>0</v>
      </c>
    </row>
    <row r="50" customFormat="false" ht="15" hidden="false" customHeight="false" outlineLevel="0" collapsed="false">
      <c r="A50" s="13" t="str">
        <f aca="false">Perioden!$A$7</f>
        <v>LEER</v>
      </c>
      <c r="B50" s="37" t="n">
        <v>22</v>
      </c>
      <c r="C50" s="38" t="str">
        <f aca="false">IF(B50&lt;=Perioden!$E$7,EDATE(Perioden!$C$7,B50-1),"")</f>
        <v/>
      </c>
      <c r="D50" s="37" t="str">
        <f aca="false">IF(C50="","",YEAR(C50))</f>
        <v/>
      </c>
      <c r="E50" s="22" t="n">
        <f aca="false">IF(C50="",0,INDEX(Kosten!$B$21:$B$27,MATCH(D50,Kosten!$A$21:$A$27,0)))</f>
        <v>0</v>
      </c>
      <c r="F50" s="22" t="n">
        <f aca="false">IF(C50="",0,INDEX(Kosten!$D$21:$D$27,MATCH(D50,Kosten!$A$21:$A$27,0)))</f>
        <v>0</v>
      </c>
    </row>
    <row r="51" customFormat="false" ht="15" hidden="false" customHeight="false" outlineLevel="0" collapsed="false">
      <c r="A51" s="13" t="str">
        <f aca="false">Perioden!$A$7</f>
        <v>LEER</v>
      </c>
      <c r="B51" s="37" t="n">
        <v>23</v>
      </c>
      <c r="C51" s="38" t="str">
        <f aca="false">IF(B51&lt;=Perioden!$E$7,EDATE(Perioden!$C$7,B51-1),"")</f>
        <v/>
      </c>
      <c r="D51" s="37" t="str">
        <f aca="false">IF(C51="","",YEAR(C51))</f>
        <v/>
      </c>
      <c r="E51" s="22" t="n">
        <f aca="false">IF(C51="",0,INDEX(Kosten!$B$21:$B$27,MATCH(D51,Kosten!$A$21:$A$27,0)))</f>
        <v>0</v>
      </c>
      <c r="F51" s="22" t="n">
        <f aca="false">IF(C51="",0,INDEX(Kosten!$D$21:$D$27,MATCH(D51,Kosten!$A$21:$A$27,0)))</f>
        <v>0</v>
      </c>
    </row>
    <row r="52" customFormat="false" ht="15" hidden="false" customHeight="false" outlineLevel="0" collapsed="false">
      <c r="A52" s="13" t="str">
        <f aca="false">Perioden!$A$7</f>
        <v>LEER</v>
      </c>
      <c r="B52" s="37" t="n">
        <v>24</v>
      </c>
      <c r="C52" s="38" t="str">
        <f aca="false">IF(B52&lt;=Perioden!$E$7,EDATE(Perioden!$C$7,B52-1),"")</f>
        <v/>
      </c>
      <c r="D52" s="37" t="str">
        <f aca="false">IF(C52="","",YEAR(C52))</f>
        <v/>
      </c>
      <c r="E52" s="22" t="n">
        <f aca="false">IF(C52="",0,INDEX(Kosten!$B$21:$B$27,MATCH(D52,Kosten!$A$21:$A$27,0)))</f>
        <v>0</v>
      </c>
      <c r="F52" s="22" t="n">
        <f aca="false">IF(C52="",0,INDEX(Kosten!$D$21:$D$27,MATCH(D52,Kosten!$A$21:$A$27,0)))</f>
        <v>0</v>
      </c>
    </row>
    <row r="53" customFormat="false" ht="15" hidden="false" customHeight="false" outlineLevel="0" collapsed="false">
      <c r="A53" s="13" t="str">
        <f aca="false">Perioden!$A$8</f>
        <v>P2</v>
      </c>
      <c r="B53" s="37" t="n">
        <v>1</v>
      </c>
      <c r="C53" s="38" t="n">
        <f aca="false">IF(B53&lt;=Perioden!$E$8,EDATE(Perioden!$C$8,B53-1),"")</f>
        <v>45870</v>
      </c>
      <c r="D53" s="37" t="n">
        <f aca="false">IF(C53="","",YEAR(C53))</f>
        <v>2025</v>
      </c>
      <c r="E53" s="22" t="n">
        <f aca="false">IF(C53="",0,INDEX(Kosten!$B$21:$B$27,MATCH(D53,Kosten!$A$21:$A$27,0)))</f>
        <v>7.44</v>
      </c>
      <c r="F53" s="22" t="n">
        <f aca="false">IF(C53="",0,INDEX(Kosten!$D$21:$D$27,MATCH(D53,Kosten!$A$21:$A$27,0)))</f>
        <v>4.97</v>
      </c>
    </row>
    <row r="54" customFormat="false" ht="15" hidden="false" customHeight="false" outlineLevel="0" collapsed="false">
      <c r="A54" s="13" t="str">
        <f aca="false">Perioden!$A$8</f>
        <v>P2</v>
      </c>
      <c r="B54" s="37" t="n">
        <v>2</v>
      </c>
      <c r="C54" s="38" t="n">
        <f aca="false">IF(B54&lt;=Perioden!$E$8,EDATE(Perioden!$C$8,B54-1),"")</f>
        <v>45901</v>
      </c>
      <c r="D54" s="37" t="n">
        <f aca="false">IF(C54="","",YEAR(C54))</f>
        <v>2025</v>
      </c>
      <c r="E54" s="22" t="n">
        <f aca="false">IF(C54="",0,INDEX(Kosten!$B$21:$B$27,MATCH(D54,Kosten!$A$21:$A$27,0)))</f>
        <v>7.44</v>
      </c>
      <c r="F54" s="22" t="n">
        <f aca="false">IF(C54="",0,INDEX(Kosten!$D$21:$D$27,MATCH(D54,Kosten!$A$21:$A$27,0)))</f>
        <v>4.97</v>
      </c>
    </row>
    <row r="55" customFormat="false" ht="15" hidden="false" customHeight="false" outlineLevel="0" collapsed="false">
      <c r="A55" s="13" t="str">
        <f aca="false">Perioden!$A$8</f>
        <v>P2</v>
      </c>
      <c r="B55" s="37" t="n">
        <v>3</v>
      </c>
      <c r="C55" s="38" t="n">
        <f aca="false">IF(B55&lt;=Perioden!$E$8,EDATE(Perioden!$C$8,B55-1),"")</f>
        <v>45931</v>
      </c>
      <c r="D55" s="37" t="n">
        <f aca="false">IF(C55="","",YEAR(C55))</f>
        <v>2025</v>
      </c>
      <c r="E55" s="22" t="n">
        <f aca="false">IF(C55="",0,INDEX(Kosten!$B$21:$B$27,MATCH(D55,Kosten!$A$21:$A$27,0)))</f>
        <v>7.44</v>
      </c>
      <c r="F55" s="22" t="n">
        <f aca="false">IF(C55="",0,INDEX(Kosten!$D$21:$D$27,MATCH(D55,Kosten!$A$21:$A$27,0)))</f>
        <v>4.97</v>
      </c>
    </row>
    <row r="56" customFormat="false" ht="15" hidden="false" customHeight="false" outlineLevel="0" collapsed="false">
      <c r="A56" s="13" t="str">
        <f aca="false">Perioden!$A$8</f>
        <v>P2</v>
      </c>
      <c r="B56" s="37" t="n">
        <v>4</v>
      </c>
      <c r="C56" s="38" t="n">
        <f aca="false">IF(B56&lt;=Perioden!$E$8,EDATE(Perioden!$C$8,B56-1),"")</f>
        <v>45962</v>
      </c>
      <c r="D56" s="37" t="n">
        <f aca="false">IF(C56="","",YEAR(C56))</f>
        <v>2025</v>
      </c>
      <c r="E56" s="22" t="n">
        <f aca="false">IF(C56="",0,INDEX(Kosten!$B$21:$B$27,MATCH(D56,Kosten!$A$21:$A$27,0)))</f>
        <v>7.44</v>
      </c>
      <c r="F56" s="22" t="n">
        <f aca="false">IF(C56="",0,INDEX(Kosten!$D$21:$D$27,MATCH(D56,Kosten!$A$21:$A$27,0)))</f>
        <v>4.97</v>
      </c>
    </row>
    <row r="57" customFormat="false" ht="15" hidden="false" customHeight="false" outlineLevel="0" collapsed="false">
      <c r="A57" s="13" t="str">
        <f aca="false">Perioden!$A$8</f>
        <v>P2</v>
      </c>
      <c r="B57" s="37" t="n">
        <v>5</v>
      </c>
      <c r="C57" s="38" t="n">
        <f aca="false">IF(B57&lt;=Perioden!$E$8,EDATE(Perioden!$C$8,B57-1),"")</f>
        <v>45992</v>
      </c>
      <c r="D57" s="37" t="n">
        <f aca="false">IF(C57="","",YEAR(C57))</f>
        <v>2025</v>
      </c>
      <c r="E57" s="22" t="n">
        <f aca="false">IF(C57="",0,INDEX(Kosten!$B$21:$B$27,MATCH(D57,Kosten!$A$21:$A$27,0)))</f>
        <v>7.44</v>
      </c>
      <c r="F57" s="22" t="n">
        <f aca="false">IF(C57="",0,INDEX(Kosten!$D$21:$D$27,MATCH(D57,Kosten!$A$21:$A$27,0)))</f>
        <v>4.97</v>
      </c>
    </row>
    <row r="58" customFormat="false" ht="15" hidden="false" customHeight="false" outlineLevel="0" collapsed="false">
      <c r="A58" s="13" t="str">
        <f aca="false">Perioden!$A$8</f>
        <v>P2</v>
      </c>
      <c r="B58" s="37" t="n">
        <v>6</v>
      </c>
      <c r="C58" s="38" t="n">
        <f aca="false">IF(B58&lt;=Perioden!$E$8,EDATE(Perioden!$C$8,B58-1),"")</f>
        <v>46023</v>
      </c>
      <c r="D58" s="37" t="n">
        <f aca="false">IF(C58="","",YEAR(C58))</f>
        <v>2026</v>
      </c>
      <c r="E58" s="22" t="n">
        <f aca="false">IF(C58="",0,INDEX(Kosten!$B$21:$B$27,MATCH(D58,Kosten!$A$21:$A$27,0)))</f>
        <v>7.44</v>
      </c>
      <c r="F58" s="22" t="n">
        <f aca="false">IF(C58="",0,INDEX(Kosten!$D$21:$D$27,MATCH(D58,Kosten!$A$21:$A$27,0)))</f>
        <v>4.97</v>
      </c>
    </row>
    <row r="59" customFormat="false" ht="15" hidden="false" customHeight="false" outlineLevel="0" collapsed="false">
      <c r="A59" s="13" t="str">
        <f aca="false">Perioden!$A$8</f>
        <v>P2</v>
      </c>
      <c r="B59" s="37" t="n">
        <v>7</v>
      </c>
      <c r="C59" s="38" t="n">
        <f aca="false">IF(B59&lt;=Perioden!$E$8,EDATE(Perioden!$C$8,B59-1),"")</f>
        <v>46054</v>
      </c>
      <c r="D59" s="37" t="n">
        <f aca="false">IF(C59="","",YEAR(C59))</f>
        <v>2026</v>
      </c>
      <c r="E59" s="22" t="n">
        <f aca="false">IF(C59="",0,INDEX(Kosten!$B$21:$B$27,MATCH(D59,Kosten!$A$21:$A$27,0)))</f>
        <v>7.44</v>
      </c>
      <c r="F59" s="22" t="n">
        <f aca="false">IF(C59="",0,INDEX(Kosten!$D$21:$D$27,MATCH(D59,Kosten!$A$21:$A$27,0)))</f>
        <v>4.97</v>
      </c>
    </row>
    <row r="60" customFormat="false" ht="15" hidden="false" customHeight="false" outlineLevel="0" collapsed="false">
      <c r="A60" s="13" t="str">
        <f aca="false">Perioden!$A$8</f>
        <v>P2</v>
      </c>
      <c r="B60" s="37" t="n">
        <v>8</v>
      </c>
      <c r="C60" s="38" t="n">
        <f aca="false">IF(B60&lt;=Perioden!$E$8,EDATE(Perioden!$C$8,B60-1),"")</f>
        <v>46082</v>
      </c>
      <c r="D60" s="37" t="n">
        <f aca="false">IF(C60="","",YEAR(C60))</f>
        <v>2026</v>
      </c>
      <c r="E60" s="22" t="n">
        <f aca="false">IF(C60="",0,INDEX(Kosten!$B$21:$B$27,MATCH(D60,Kosten!$A$21:$A$27,0)))</f>
        <v>7.44</v>
      </c>
      <c r="F60" s="22" t="n">
        <f aca="false">IF(C60="",0,INDEX(Kosten!$D$21:$D$27,MATCH(D60,Kosten!$A$21:$A$27,0)))</f>
        <v>4.97</v>
      </c>
    </row>
    <row r="61" customFormat="false" ht="15" hidden="false" customHeight="false" outlineLevel="0" collapsed="false">
      <c r="A61" s="13" t="str">
        <f aca="false">Perioden!$A$8</f>
        <v>P2</v>
      </c>
      <c r="B61" s="37" t="n">
        <v>9</v>
      </c>
      <c r="C61" s="38" t="n">
        <f aca="false">IF(B61&lt;=Perioden!$E$8,EDATE(Perioden!$C$8,B61-1),"")</f>
        <v>46113</v>
      </c>
      <c r="D61" s="37" t="n">
        <f aca="false">IF(C61="","",YEAR(C61))</f>
        <v>2026</v>
      </c>
      <c r="E61" s="22" t="n">
        <f aca="false">IF(C61="",0,INDEX(Kosten!$B$21:$B$27,MATCH(D61,Kosten!$A$21:$A$27,0)))</f>
        <v>7.44</v>
      </c>
      <c r="F61" s="22" t="n">
        <f aca="false">IF(C61="",0,INDEX(Kosten!$D$21:$D$27,MATCH(D61,Kosten!$A$21:$A$27,0)))</f>
        <v>4.97</v>
      </c>
    </row>
    <row r="62" customFormat="false" ht="15" hidden="false" customHeight="false" outlineLevel="0" collapsed="false">
      <c r="A62" s="13" t="str">
        <f aca="false">Perioden!$A$8</f>
        <v>P2</v>
      </c>
      <c r="B62" s="37" t="n">
        <v>10</v>
      </c>
      <c r="C62" s="38" t="n">
        <f aca="false">IF(B62&lt;=Perioden!$E$8,EDATE(Perioden!$C$8,B62-1),"")</f>
        <v>46143</v>
      </c>
      <c r="D62" s="37" t="n">
        <f aca="false">IF(C62="","",YEAR(C62))</f>
        <v>2026</v>
      </c>
      <c r="E62" s="22" t="n">
        <f aca="false">IF(C62="",0,INDEX(Kosten!$B$21:$B$27,MATCH(D62,Kosten!$A$21:$A$27,0)))</f>
        <v>7.44</v>
      </c>
      <c r="F62" s="22" t="n">
        <f aca="false">IF(C62="",0,INDEX(Kosten!$D$21:$D$27,MATCH(D62,Kosten!$A$21:$A$27,0)))</f>
        <v>4.97</v>
      </c>
    </row>
    <row r="63" customFormat="false" ht="15" hidden="false" customHeight="false" outlineLevel="0" collapsed="false">
      <c r="A63" s="13" t="str">
        <f aca="false">Perioden!$A$8</f>
        <v>P2</v>
      </c>
      <c r="B63" s="37" t="n">
        <v>11</v>
      </c>
      <c r="C63" s="38" t="n">
        <f aca="false">IF(B63&lt;=Perioden!$E$8,EDATE(Perioden!$C$8,B63-1),"")</f>
        <v>46174</v>
      </c>
      <c r="D63" s="37" t="n">
        <f aca="false">IF(C63="","",YEAR(C63))</f>
        <v>2026</v>
      </c>
      <c r="E63" s="22" t="n">
        <f aca="false">IF(C63="",0,INDEX(Kosten!$B$21:$B$27,MATCH(D63,Kosten!$A$21:$A$27,0)))</f>
        <v>7.44</v>
      </c>
      <c r="F63" s="22" t="n">
        <f aca="false">IF(C63="",0,INDEX(Kosten!$D$21:$D$27,MATCH(D63,Kosten!$A$21:$A$27,0)))</f>
        <v>4.97</v>
      </c>
    </row>
    <row r="64" customFormat="false" ht="15" hidden="false" customHeight="false" outlineLevel="0" collapsed="false">
      <c r="A64" s="13" t="str">
        <f aca="false">Perioden!$A$8</f>
        <v>P2</v>
      </c>
      <c r="B64" s="37" t="n">
        <v>12</v>
      </c>
      <c r="C64" s="38" t="str">
        <f aca="false">IF(B64&lt;=Perioden!$E$8,EDATE(Perioden!$C$8,B64-1),"")</f>
        <v/>
      </c>
      <c r="D64" s="37" t="str">
        <f aca="false">IF(C64="","",YEAR(C64))</f>
        <v/>
      </c>
      <c r="E64" s="22" t="n">
        <f aca="false">IF(C64="",0,INDEX(Kosten!$B$21:$B$27,MATCH(D64,Kosten!$A$21:$A$27,0)))</f>
        <v>0</v>
      </c>
      <c r="F64" s="22" t="n">
        <f aca="false">IF(C64="",0,INDEX(Kosten!$D$21:$D$27,MATCH(D64,Kosten!$A$21:$A$27,0)))</f>
        <v>0</v>
      </c>
    </row>
    <row r="65" customFormat="false" ht="15" hidden="false" customHeight="false" outlineLevel="0" collapsed="false">
      <c r="A65" s="13" t="str">
        <f aca="false">Perioden!$A$8</f>
        <v>P2</v>
      </c>
      <c r="B65" s="37" t="n">
        <v>13</v>
      </c>
      <c r="C65" s="38" t="str">
        <f aca="false">IF(B65&lt;=Perioden!$E$8,EDATE(Perioden!$C$8,B65-1),"")</f>
        <v/>
      </c>
      <c r="D65" s="37" t="str">
        <f aca="false">IF(C65="","",YEAR(C65))</f>
        <v/>
      </c>
      <c r="E65" s="22" t="n">
        <f aca="false">IF(C65="",0,INDEX(Kosten!$B$21:$B$27,MATCH(D65,Kosten!$A$21:$A$27,0)))</f>
        <v>0</v>
      </c>
      <c r="F65" s="22" t="n">
        <f aca="false">IF(C65="",0,INDEX(Kosten!$D$21:$D$27,MATCH(D65,Kosten!$A$21:$A$27,0)))</f>
        <v>0</v>
      </c>
    </row>
    <row r="66" customFormat="false" ht="15" hidden="false" customHeight="false" outlineLevel="0" collapsed="false">
      <c r="A66" s="13" t="str">
        <f aca="false">Perioden!$A$8</f>
        <v>P2</v>
      </c>
      <c r="B66" s="37" t="n">
        <v>14</v>
      </c>
      <c r="C66" s="38" t="str">
        <f aca="false">IF(B66&lt;=Perioden!$E$8,EDATE(Perioden!$C$8,B66-1),"")</f>
        <v/>
      </c>
      <c r="D66" s="37" t="str">
        <f aca="false">IF(C66="","",YEAR(C66))</f>
        <v/>
      </c>
      <c r="E66" s="22" t="n">
        <f aca="false">IF(C66="",0,INDEX(Kosten!$B$21:$B$27,MATCH(D66,Kosten!$A$21:$A$27,0)))</f>
        <v>0</v>
      </c>
      <c r="F66" s="22" t="n">
        <f aca="false">IF(C66="",0,INDEX(Kosten!$D$21:$D$27,MATCH(D66,Kosten!$A$21:$A$27,0)))</f>
        <v>0</v>
      </c>
    </row>
    <row r="67" customFormat="false" ht="15" hidden="false" customHeight="false" outlineLevel="0" collapsed="false">
      <c r="A67" s="13" t="str">
        <f aca="false">Perioden!$A$8</f>
        <v>P2</v>
      </c>
      <c r="B67" s="37" t="n">
        <v>15</v>
      </c>
      <c r="C67" s="38" t="str">
        <f aca="false">IF(B67&lt;=Perioden!$E$8,EDATE(Perioden!$C$8,B67-1),"")</f>
        <v/>
      </c>
      <c r="D67" s="37" t="str">
        <f aca="false">IF(C67="","",YEAR(C67))</f>
        <v/>
      </c>
      <c r="E67" s="22" t="n">
        <f aca="false">IF(C67="",0,INDEX(Kosten!$B$21:$B$27,MATCH(D67,Kosten!$A$21:$A$27,0)))</f>
        <v>0</v>
      </c>
      <c r="F67" s="22" t="n">
        <f aca="false">IF(C67="",0,INDEX(Kosten!$D$21:$D$27,MATCH(D67,Kosten!$A$21:$A$27,0)))</f>
        <v>0</v>
      </c>
    </row>
    <row r="68" customFormat="false" ht="15" hidden="false" customHeight="false" outlineLevel="0" collapsed="false">
      <c r="A68" s="13" t="str">
        <f aca="false">Perioden!$A$8</f>
        <v>P2</v>
      </c>
      <c r="B68" s="37" t="n">
        <v>16</v>
      </c>
      <c r="C68" s="38" t="str">
        <f aca="false">IF(B68&lt;=Perioden!$E$8,EDATE(Perioden!$C$8,B68-1),"")</f>
        <v/>
      </c>
      <c r="D68" s="37" t="str">
        <f aca="false">IF(C68="","",YEAR(C68))</f>
        <v/>
      </c>
      <c r="E68" s="22" t="n">
        <f aca="false">IF(C68="",0,INDEX(Kosten!$B$21:$B$27,MATCH(D68,Kosten!$A$21:$A$27,0)))</f>
        <v>0</v>
      </c>
      <c r="F68" s="22" t="n">
        <f aca="false">IF(C68="",0,INDEX(Kosten!$D$21:$D$27,MATCH(D68,Kosten!$A$21:$A$27,0)))</f>
        <v>0</v>
      </c>
    </row>
    <row r="69" customFormat="false" ht="15" hidden="false" customHeight="false" outlineLevel="0" collapsed="false">
      <c r="A69" s="13" t="str">
        <f aca="false">Perioden!$A$8</f>
        <v>P2</v>
      </c>
      <c r="B69" s="37" t="n">
        <v>17</v>
      </c>
      <c r="C69" s="38" t="str">
        <f aca="false">IF(B69&lt;=Perioden!$E$8,EDATE(Perioden!$C$8,B69-1),"")</f>
        <v/>
      </c>
      <c r="D69" s="37" t="str">
        <f aca="false">IF(C69="","",YEAR(C69))</f>
        <v/>
      </c>
      <c r="E69" s="22" t="n">
        <f aca="false">IF(C69="",0,INDEX(Kosten!$B$21:$B$27,MATCH(D69,Kosten!$A$21:$A$27,0)))</f>
        <v>0</v>
      </c>
      <c r="F69" s="22" t="n">
        <f aca="false">IF(C69="",0,INDEX(Kosten!$D$21:$D$27,MATCH(D69,Kosten!$A$21:$A$27,0)))</f>
        <v>0</v>
      </c>
    </row>
    <row r="70" customFormat="false" ht="15" hidden="false" customHeight="false" outlineLevel="0" collapsed="false">
      <c r="A70" s="13" t="str">
        <f aca="false">Perioden!$A$8</f>
        <v>P2</v>
      </c>
      <c r="B70" s="37" t="n">
        <v>18</v>
      </c>
      <c r="C70" s="38" t="str">
        <f aca="false">IF(B70&lt;=Perioden!$E$8,EDATE(Perioden!$C$8,B70-1),"")</f>
        <v/>
      </c>
      <c r="D70" s="37" t="str">
        <f aca="false">IF(C70="","",YEAR(C70))</f>
        <v/>
      </c>
      <c r="E70" s="22" t="n">
        <f aca="false">IF(C70="",0,INDEX(Kosten!$B$21:$B$27,MATCH(D70,Kosten!$A$21:$A$27,0)))</f>
        <v>0</v>
      </c>
      <c r="F70" s="22" t="n">
        <f aca="false">IF(C70="",0,INDEX(Kosten!$D$21:$D$27,MATCH(D70,Kosten!$A$21:$A$27,0)))</f>
        <v>0</v>
      </c>
    </row>
    <row r="71" customFormat="false" ht="15" hidden="false" customHeight="false" outlineLevel="0" collapsed="false">
      <c r="A71" s="13" t="str">
        <f aca="false">Perioden!$A$8</f>
        <v>P2</v>
      </c>
      <c r="B71" s="37" t="n">
        <v>19</v>
      </c>
      <c r="C71" s="38" t="str">
        <f aca="false">IF(B71&lt;=Perioden!$E$8,EDATE(Perioden!$C$8,B71-1),"")</f>
        <v/>
      </c>
      <c r="D71" s="37" t="str">
        <f aca="false">IF(C71="","",YEAR(C71))</f>
        <v/>
      </c>
      <c r="E71" s="22" t="n">
        <f aca="false">IF(C71="",0,INDEX(Kosten!$B$21:$B$27,MATCH(D71,Kosten!$A$21:$A$27,0)))</f>
        <v>0</v>
      </c>
      <c r="F71" s="22" t="n">
        <f aca="false">IF(C71="",0,INDEX(Kosten!$D$21:$D$27,MATCH(D71,Kosten!$A$21:$A$27,0)))</f>
        <v>0</v>
      </c>
    </row>
    <row r="72" customFormat="false" ht="15" hidden="false" customHeight="false" outlineLevel="0" collapsed="false">
      <c r="A72" s="13" t="str">
        <f aca="false">Perioden!$A$8</f>
        <v>P2</v>
      </c>
      <c r="B72" s="37" t="n">
        <v>20</v>
      </c>
      <c r="C72" s="38" t="str">
        <f aca="false">IF(B72&lt;=Perioden!$E$8,EDATE(Perioden!$C$8,B72-1),"")</f>
        <v/>
      </c>
      <c r="D72" s="37" t="str">
        <f aca="false">IF(C72="","",YEAR(C72))</f>
        <v/>
      </c>
      <c r="E72" s="22" t="n">
        <f aca="false">IF(C72="",0,INDEX(Kosten!$B$21:$B$27,MATCH(D72,Kosten!$A$21:$A$27,0)))</f>
        <v>0</v>
      </c>
      <c r="F72" s="22" t="n">
        <f aca="false">IF(C72="",0,INDEX(Kosten!$D$21:$D$27,MATCH(D72,Kosten!$A$21:$A$27,0)))</f>
        <v>0</v>
      </c>
    </row>
    <row r="73" customFormat="false" ht="15" hidden="false" customHeight="false" outlineLevel="0" collapsed="false">
      <c r="A73" s="13" t="str">
        <f aca="false">Perioden!$A$8</f>
        <v>P2</v>
      </c>
      <c r="B73" s="37" t="n">
        <v>21</v>
      </c>
      <c r="C73" s="38" t="str">
        <f aca="false">IF(B73&lt;=Perioden!$E$8,EDATE(Perioden!$C$8,B73-1),"")</f>
        <v/>
      </c>
      <c r="D73" s="37" t="str">
        <f aca="false">IF(C73="","",YEAR(C73))</f>
        <v/>
      </c>
      <c r="E73" s="22" t="n">
        <f aca="false">IF(C73="",0,INDEX(Kosten!$B$21:$B$27,MATCH(D73,Kosten!$A$21:$A$27,0)))</f>
        <v>0</v>
      </c>
      <c r="F73" s="22" t="n">
        <f aca="false">IF(C73="",0,INDEX(Kosten!$D$21:$D$27,MATCH(D73,Kosten!$A$21:$A$27,0)))</f>
        <v>0</v>
      </c>
    </row>
    <row r="74" customFormat="false" ht="15" hidden="false" customHeight="false" outlineLevel="0" collapsed="false">
      <c r="A74" s="13" t="str">
        <f aca="false">Perioden!$A$8</f>
        <v>P2</v>
      </c>
      <c r="B74" s="37" t="n">
        <v>22</v>
      </c>
      <c r="C74" s="38" t="str">
        <f aca="false">IF(B74&lt;=Perioden!$E$8,EDATE(Perioden!$C$8,B74-1),"")</f>
        <v/>
      </c>
      <c r="D74" s="37" t="str">
        <f aca="false">IF(C74="","",YEAR(C74))</f>
        <v/>
      </c>
      <c r="E74" s="22" t="n">
        <f aca="false">IF(C74="",0,INDEX(Kosten!$B$21:$B$27,MATCH(D74,Kosten!$A$21:$A$27,0)))</f>
        <v>0</v>
      </c>
      <c r="F74" s="22" t="n">
        <f aca="false">IF(C74="",0,INDEX(Kosten!$D$21:$D$27,MATCH(D74,Kosten!$A$21:$A$27,0)))</f>
        <v>0</v>
      </c>
    </row>
    <row r="75" customFormat="false" ht="15" hidden="false" customHeight="false" outlineLevel="0" collapsed="false">
      <c r="A75" s="13" t="str">
        <f aca="false">Perioden!$A$8</f>
        <v>P2</v>
      </c>
      <c r="B75" s="37" t="n">
        <v>23</v>
      </c>
      <c r="C75" s="38" t="str">
        <f aca="false">IF(B75&lt;=Perioden!$E$8,EDATE(Perioden!$C$8,B75-1),"")</f>
        <v/>
      </c>
      <c r="D75" s="37" t="str">
        <f aca="false">IF(C75="","",YEAR(C75))</f>
        <v/>
      </c>
      <c r="E75" s="22" t="n">
        <f aca="false">IF(C75="",0,INDEX(Kosten!$B$21:$B$27,MATCH(D75,Kosten!$A$21:$A$27,0)))</f>
        <v>0</v>
      </c>
      <c r="F75" s="22" t="n">
        <f aca="false">IF(C75="",0,INDEX(Kosten!$D$21:$D$27,MATCH(D75,Kosten!$A$21:$A$27,0)))</f>
        <v>0</v>
      </c>
    </row>
    <row r="76" customFormat="false" ht="15" hidden="false" customHeight="false" outlineLevel="0" collapsed="false">
      <c r="A76" s="13" t="str">
        <f aca="false">Perioden!$A$8</f>
        <v>P2</v>
      </c>
      <c r="B76" s="37" t="n">
        <v>24</v>
      </c>
      <c r="C76" s="38" t="str">
        <f aca="false">IF(B76&lt;=Perioden!$E$8,EDATE(Perioden!$C$8,B76-1),"")</f>
        <v/>
      </c>
      <c r="D76" s="37" t="str">
        <f aca="false">IF(C76="","",YEAR(C76))</f>
        <v/>
      </c>
      <c r="E76" s="22" t="n">
        <f aca="false">IF(C76="",0,INDEX(Kosten!$B$21:$B$27,MATCH(D76,Kosten!$A$21:$A$27,0)))</f>
        <v>0</v>
      </c>
      <c r="F76" s="22" t="n">
        <f aca="false">IF(C76="",0,INDEX(Kosten!$D$21:$D$27,MATCH(D76,Kosten!$A$21:$A$27,0)))</f>
        <v>0</v>
      </c>
    </row>
    <row r="77" customFormat="false" ht="15" hidden="false" customHeight="false" outlineLevel="0" collapsed="false">
      <c r="A77" s="13" t="str">
        <f aca="false">Perioden!$A$9</f>
        <v>P3</v>
      </c>
      <c r="B77" s="37" t="n">
        <v>1</v>
      </c>
      <c r="C77" s="38" t="n">
        <f aca="false">IF(B77&lt;=Perioden!$E$9,EDATE(Perioden!$C$9,B77-1),"")</f>
        <v>46193</v>
      </c>
      <c r="D77" s="37" t="n">
        <f aca="false">IF(C77="","",YEAR(C77))</f>
        <v>2026</v>
      </c>
      <c r="E77" s="22" t="n">
        <f aca="false">IF(C77="",0,INDEX(Kosten!$B$21:$B$27,MATCH(D77,Kosten!$A$21:$A$27,0)))</f>
        <v>7.44</v>
      </c>
      <c r="F77" s="22" t="n">
        <f aca="false">IF(C77="",0,INDEX(Kosten!$D$21:$D$27,MATCH(D77,Kosten!$A$21:$A$27,0)))</f>
        <v>4.97</v>
      </c>
    </row>
    <row r="78" customFormat="false" ht="15" hidden="false" customHeight="false" outlineLevel="0" collapsed="false">
      <c r="A78" s="13" t="str">
        <f aca="false">Perioden!$A$9</f>
        <v>P3</v>
      </c>
      <c r="B78" s="37" t="n">
        <v>2</v>
      </c>
      <c r="C78" s="38" t="n">
        <f aca="false">IF(B78&lt;=Perioden!$E$9,EDATE(Perioden!$C$9,B78-1),"")</f>
        <v>46223</v>
      </c>
      <c r="D78" s="37" t="n">
        <f aca="false">IF(C78="","",YEAR(C78))</f>
        <v>2026</v>
      </c>
      <c r="E78" s="22" t="n">
        <f aca="false">IF(C78="",0,INDEX(Kosten!$B$21:$B$27,MATCH(D78,Kosten!$A$21:$A$27,0)))</f>
        <v>7.44</v>
      </c>
      <c r="F78" s="22" t="n">
        <f aca="false">IF(C78="",0,INDEX(Kosten!$D$21:$D$27,MATCH(D78,Kosten!$A$21:$A$27,0)))</f>
        <v>4.97</v>
      </c>
    </row>
    <row r="79" customFormat="false" ht="15" hidden="false" customHeight="false" outlineLevel="0" collapsed="false">
      <c r="A79" s="13" t="str">
        <f aca="false">Perioden!$A$9</f>
        <v>P3</v>
      </c>
      <c r="B79" s="37" t="n">
        <v>3</v>
      </c>
      <c r="C79" s="38" t="n">
        <f aca="false">IF(B79&lt;=Perioden!$E$9,EDATE(Perioden!$C$9,B79-1),"")</f>
        <v>46254</v>
      </c>
      <c r="D79" s="37" t="n">
        <f aca="false">IF(C79="","",YEAR(C79))</f>
        <v>2026</v>
      </c>
      <c r="E79" s="22" t="n">
        <f aca="false">IF(C79="",0,INDEX(Kosten!$B$21:$B$27,MATCH(D79,Kosten!$A$21:$A$27,0)))</f>
        <v>7.44</v>
      </c>
      <c r="F79" s="22" t="n">
        <f aca="false">IF(C79="",0,INDEX(Kosten!$D$21:$D$27,MATCH(D79,Kosten!$A$21:$A$27,0)))</f>
        <v>4.97</v>
      </c>
    </row>
    <row r="80" customFormat="false" ht="15" hidden="false" customHeight="false" outlineLevel="0" collapsed="false">
      <c r="A80" s="13" t="str">
        <f aca="false">Perioden!$A$9</f>
        <v>P3</v>
      </c>
      <c r="B80" s="37" t="n">
        <v>4</v>
      </c>
      <c r="C80" s="38" t="n">
        <f aca="false">IF(B80&lt;=Perioden!$E$9,EDATE(Perioden!$C$9,B80-1),"")</f>
        <v>46285</v>
      </c>
      <c r="D80" s="37" t="n">
        <f aca="false">IF(C80="","",YEAR(C80))</f>
        <v>2026</v>
      </c>
      <c r="E80" s="22" t="n">
        <f aca="false">IF(C80="",0,INDEX(Kosten!$B$21:$B$27,MATCH(D80,Kosten!$A$21:$A$27,0)))</f>
        <v>7.44</v>
      </c>
      <c r="F80" s="22" t="n">
        <f aca="false">IF(C80="",0,INDEX(Kosten!$D$21:$D$27,MATCH(D80,Kosten!$A$21:$A$27,0)))</f>
        <v>4.97</v>
      </c>
    </row>
    <row r="81" customFormat="false" ht="15" hidden="false" customHeight="false" outlineLevel="0" collapsed="false">
      <c r="A81" s="13" t="str">
        <f aca="false">Perioden!$A$9</f>
        <v>P3</v>
      </c>
      <c r="B81" s="37" t="n">
        <v>5</v>
      </c>
      <c r="C81" s="38" t="n">
        <f aca="false">IF(B81&lt;=Perioden!$E$9,EDATE(Perioden!$C$9,B81-1),"")</f>
        <v>46315</v>
      </c>
      <c r="D81" s="37" t="n">
        <f aca="false">IF(C81="","",YEAR(C81))</f>
        <v>2026</v>
      </c>
      <c r="E81" s="22" t="n">
        <f aca="false">IF(C81="",0,INDEX(Kosten!$B$21:$B$27,MATCH(D81,Kosten!$A$21:$A$27,0)))</f>
        <v>7.44</v>
      </c>
      <c r="F81" s="22" t="n">
        <f aca="false">IF(C81="",0,INDEX(Kosten!$D$21:$D$27,MATCH(D81,Kosten!$A$21:$A$27,0)))</f>
        <v>4.97</v>
      </c>
    </row>
    <row r="82" customFormat="false" ht="15" hidden="false" customHeight="false" outlineLevel="0" collapsed="false">
      <c r="A82" s="13" t="str">
        <f aca="false">Perioden!$A$9</f>
        <v>P3</v>
      </c>
      <c r="B82" s="37" t="n">
        <v>6</v>
      </c>
      <c r="C82" s="38" t="n">
        <f aca="false">IF(B82&lt;=Perioden!$E$9,EDATE(Perioden!$C$9,B82-1),"")</f>
        <v>46346</v>
      </c>
      <c r="D82" s="37" t="n">
        <f aca="false">IF(C82="","",YEAR(C82))</f>
        <v>2026</v>
      </c>
      <c r="E82" s="22" t="n">
        <f aca="false">IF(C82="",0,INDEX(Kosten!$B$21:$B$27,MATCH(D82,Kosten!$A$21:$A$27,0)))</f>
        <v>7.44</v>
      </c>
      <c r="F82" s="22" t="n">
        <f aca="false">IF(C82="",0,INDEX(Kosten!$D$21:$D$27,MATCH(D82,Kosten!$A$21:$A$27,0)))</f>
        <v>4.97</v>
      </c>
    </row>
    <row r="83" customFormat="false" ht="15" hidden="false" customHeight="false" outlineLevel="0" collapsed="false">
      <c r="A83" s="13" t="str">
        <f aca="false">Perioden!$A$9</f>
        <v>P3</v>
      </c>
      <c r="B83" s="37" t="n">
        <v>7</v>
      </c>
      <c r="C83" s="38" t="str">
        <f aca="false">IF(B83&lt;=Perioden!$E$9,EDATE(Perioden!$C$9,B83-1),"")</f>
        <v/>
      </c>
      <c r="D83" s="37" t="str">
        <f aca="false">IF(C83="","",YEAR(C83))</f>
        <v/>
      </c>
      <c r="E83" s="22" t="n">
        <f aca="false">IF(C83="",0,INDEX(Kosten!$B$21:$B$27,MATCH(D83,Kosten!$A$21:$A$27,0)))</f>
        <v>0</v>
      </c>
      <c r="F83" s="22" t="n">
        <f aca="false">IF(C83="",0,INDEX(Kosten!$D$21:$D$27,MATCH(D83,Kosten!$A$21:$A$27,0)))</f>
        <v>0</v>
      </c>
    </row>
    <row r="84" customFormat="false" ht="15" hidden="false" customHeight="false" outlineLevel="0" collapsed="false">
      <c r="A84" s="13" t="str">
        <f aca="false">Perioden!$A$9</f>
        <v>P3</v>
      </c>
      <c r="B84" s="37" t="n">
        <v>8</v>
      </c>
      <c r="C84" s="38" t="str">
        <f aca="false">IF(B84&lt;=Perioden!$E$9,EDATE(Perioden!$C$9,B84-1),"")</f>
        <v/>
      </c>
      <c r="D84" s="37" t="str">
        <f aca="false">IF(C84="","",YEAR(C84))</f>
        <v/>
      </c>
      <c r="E84" s="22" t="n">
        <f aca="false">IF(C84="",0,INDEX(Kosten!$B$21:$B$27,MATCH(D84,Kosten!$A$21:$A$27,0)))</f>
        <v>0</v>
      </c>
      <c r="F84" s="22" t="n">
        <f aca="false">IF(C84="",0,INDEX(Kosten!$D$21:$D$27,MATCH(D84,Kosten!$A$21:$A$27,0)))</f>
        <v>0</v>
      </c>
    </row>
    <row r="85" customFormat="false" ht="15" hidden="false" customHeight="false" outlineLevel="0" collapsed="false">
      <c r="A85" s="13" t="str">
        <f aca="false">Perioden!$A$9</f>
        <v>P3</v>
      </c>
      <c r="B85" s="37" t="n">
        <v>9</v>
      </c>
      <c r="C85" s="38" t="str">
        <f aca="false">IF(B85&lt;=Perioden!$E$9,EDATE(Perioden!$C$9,B85-1),"")</f>
        <v/>
      </c>
      <c r="D85" s="37" t="str">
        <f aca="false">IF(C85="","",YEAR(C85))</f>
        <v/>
      </c>
      <c r="E85" s="22" t="n">
        <f aca="false">IF(C85="",0,INDEX(Kosten!$B$21:$B$27,MATCH(D85,Kosten!$A$21:$A$27,0)))</f>
        <v>0</v>
      </c>
      <c r="F85" s="22" t="n">
        <f aca="false">IF(C85="",0,INDEX(Kosten!$D$21:$D$27,MATCH(D85,Kosten!$A$21:$A$27,0)))</f>
        <v>0</v>
      </c>
    </row>
    <row r="86" customFormat="false" ht="15" hidden="false" customHeight="false" outlineLevel="0" collapsed="false">
      <c r="A86" s="13" t="str">
        <f aca="false">Perioden!$A$9</f>
        <v>P3</v>
      </c>
      <c r="B86" s="37" t="n">
        <v>10</v>
      </c>
      <c r="C86" s="38" t="str">
        <f aca="false">IF(B86&lt;=Perioden!$E$9,EDATE(Perioden!$C$9,B86-1),"")</f>
        <v/>
      </c>
      <c r="D86" s="37" t="str">
        <f aca="false">IF(C86="","",YEAR(C86))</f>
        <v/>
      </c>
      <c r="E86" s="22" t="n">
        <f aca="false">IF(C86="",0,INDEX(Kosten!$B$21:$B$27,MATCH(D86,Kosten!$A$21:$A$27,0)))</f>
        <v>0</v>
      </c>
      <c r="F86" s="22" t="n">
        <f aca="false">IF(C86="",0,INDEX(Kosten!$D$21:$D$27,MATCH(D86,Kosten!$A$21:$A$27,0)))</f>
        <v>0</v>
      </c>
    </row>
    <row r="87" customFormat="false" ht="15" hidden="false" customHeight="false" outlineLevel="0" collapsed="false">
      <c r="A87" s="13" t="str">
        <f aca="false">Perioden!$A$9</f>
        <v>P3</v>
      </c>
      <c r="B87" s="37" t="n">
        <v>11</v>
      </c>
      <c r="C87" s="38" t="str">
        <f aca="false">IF(B87&lt;=Perioden!$E$9,EDATE(Perioden!$C$9,B87-1),"")</f>
        <v/>
      </c>
      <c r="D87" s="37" t="str">
        <f aca="false">IF(C87="","",YEAR(C87))</f>
        <v/>
      </c>
      <c r="E87" s="22" t="n">
        <f aca="false">IF(C87="",0,INDEX(Kosten!$B$21:$B$27,MATCH(D87,Kosten!$A$21:$A$27,0)))</f>
        <v>0</v>
      </c>
      <c r="F87" s="22" t="n">
        <f aca="false">IF(C87="",0,INDEX(Kosten!$D$21:$D$27,MATCH(D87,Kosten!$A$21:$A$27,0)))</f>
        <v>0</v>
      </c>
    </row>
    <row r="88" customFormat="false" ht="15" hidden="false" customHeight="false" outlineLevel="0" collapsed="false">
      <c r="A88" s="13" t="str">
        <f aca="false">Perioden!$A$9</f>
        <v>P3</v>
      </c>
      <c r="B88" s="37" t="n">
        <v>12</v>
      </c>
      <c r="C88" s="38" t="str">
        <f aca="false">IF(B88&lt;=Perioden!$E$9,EDATE(Perioden!$C$9,B88-1),"")</f>
        <v/>
      </c>
      <c r="D88" s="37" t="str">
        <f aca="false">IF(C88="","",YEAR(C88))</f>
        <v/>
      </c>
      <c r="E88" s="22" t="n">
        <f aca="false">IF(C88="",0,INDEX(Kosten!$B$21:$B$27,MATCH(D88,Kosten!$A$21:$A$27,0)))</f>
        <v>0</v>
      </c>
      <c r="F88" s="22" t="n">
        <f aca="false">IF(C88="",0,INDEX(Kosten!$D$21:$D$27,MATCH(D88,Kosten!$A$21:$A$27,0)))</f>
        <v>0</v>
      </c>
    </row>
    <row r="89" customFormat="false" ht="15" hidden="false" customHeight="false" outlineLevel="0" collapsed="false">
      <c r="A89" s="13" t="str">
        <f aca="false">Perioden!$A$9</f>
        <v>P3</v>
      </c>
      <c r="B89" s="37" t="n">
        <v>13</v>
      </c>
      <c r="C89" s="38" t="str">
        <f aca="false">IF(B89&lt;=Perioden!$E$9,EDATE(Perioden!$C$9,B89-1),"")</f>
        <v/>
      </c>
      <c r="D89" s="37" t="str">
        <f aca="false">IF(C89="","",YEAR(C89))</f>
        <v/>
      </c>
      <c r="E89" s="22" t="n">
        <f aca="false">IF(C89="",0,INDEX(Kosten!$B$21:$B$27,MATCH(D89,Kosten!$A$21:$A$27,0)))</f>
        <v>0</v>
      </c>
      <c r="F89" s="22" t="n">
        <f aca="false">IF(C89="",0,INDEX(Kosten!$D$21:$D$27,MATCH(D89,Kosten!$A$21:$A$27,0)))</f>
        <v>0</v>
      </c>
    </row>
    <row r="90" customFormat="false" ht="15" hidden="false" customHeight="false" outlineLevel="0" collapsed="false">
      <c r="A90" s="13" t="str">
        <f aca="false">Perioden!$A$9</f>
        <v>P3</v>
      </c>
      <c r="B90" s="37" t="n">
        <v>14</v>
      </c>
      <c r="C90" s="38" t="str">
        <f aca="false">IF(B90&lt;=Perioden!$E$9,EDATE(Perioden!$C$9,B90-1),"")</f>
        <v/>
      </c>
      <c r="D90" s="37" t="str">
        <f aca="false">IF(C90="","",YEAR(C90))</f>
        <v/>
      </c>
      <c r="E90" s="22" t="n">
        <f aca="false">IF(C90="",0,INDEX(Kosten!$B$21:$B$27,MATCH(D90,Kosten!$A$21:$A$27,0)))</f>
        <v>0</v>
      </c>
      <c r="F90" s="22" t="n">
        <f aca="false">IF(C90="",0,INDEX(Kosten!$D$21:$D$27,MATCH(D90,Kosten!$A$21:$A$27,0)))</f>
        <v>0</v>
      </c>
    </row>
    <row r="91" customFormat="false" ht="15" hidden="false" customHeight="false" outlineLevel="0" collapsed="false">
      <c r="A91" s="13" t="str">
        <f aca="false">Perioden!$A$9</f>
        <v>P3</v>
      </c>
      <c r="B91" s="37" t="n">
        <v>15</v>
      </c>
      <c r="C91" s="38" t="str">
        <f aca="false">IF(B91&lt;=Perioden!$E$9,EDATE(Perioden!$C$9,B91-1),"")</f>
        <v/>
      </c>
      <c r="D91" s="37" t="str">
        <f aca="false">IF(C91="","",YEAR(C91))</f>
        <v/>
      </c>
      <c r="E91" s="22" t="n">
        <f aca="false">IF(C91="",0,INDEX(Kosten!$B$21:$B$27,MATCH(D91,Kosten!$A$21:$A$27,0)))</f>
        <v>0</v>
      </c>
      <c r="F91" s="22" t="n">
        <f aca="false">IF(C91="",0,INDEX(Kosten!$D$21:$D$27,MATCH(D91,Kosten!$A$21:$A$27,0)))</f>
        <v>0</v>
      </c>
    </row>
    <row r="92" customFormat="false" ht="15" hidden="false" customHeight="false" outlineLevel="0" collapsed="false">
      <c r="A92" s="13" t="str">
        <f aca="false">Perioden!$A$9</f>
        <v>P3</v>
      </c>
      <c r="B92" s="37" t="n">
        <v>16</v>
      </c>
      <c r="C92" s="38" t="str">
        <f aca="false">IF(B92&lt;=Perioden!$E$9,EDATE(Perioden!$C$9,B92-1),"")</f>
        <v/>
      </c>
      <c r="D92" s="37" t="str">
        <f aca="false">IF(C92="","",YEAR(C92))</f>
        <v/>
      </c>
      <c r="E92" s="22" t="n">
        <f aca="false">IF(C92="",0,INDEX(Kosten!$B$21:$B$27,MATCH(D92,Kosten!$A$21:$A$27,0)))</f>
        <v>0</v>
      </c>
      <c r="F92" s="22" t="n">
        <f aca="false">IF(C92="",0,INDEX(Kosten!$D$21:$D$27,MATCH(D92,Kosten!$A$21:$A$27,0)))</f>
        <v>0</v>
      </c>
    </row>
    <row r="93" customFormat="false" ht="15" hidden="false" customHeight="false" outlineLevel="0" collapsed="false">
      <c r="A93" s="13" t="str">
        <f aca="false">Perioden!$A$9</f>
        <v>P3</v>
      </c>
      <c r="B93" s="37" t="n">
        <v>17</v>
      </c>
      <c r="C93" s="38" t="str">
        <f aca="false">IF(B93&lt;=Perioden!$E$9,EDATE(Perioden!$C$9,B93-1),"")</f>
        <v/>
      </c>
      <c r="D93" s="37" t="str">
        <f aca="false">IF(C93="","",YEAR(C93))</f>
        <v/>
      </c>
      <c r="E93" s="22" t="n">
        <f aca="false">IF(C93="",0,INDEX(Kosten!$B$21:$B$27,MATCH(D93,Kosten!$A$21:$A$27,0)))</f>
        <v>0</v>
      </c>
      <c r="F93" s="22" t="n">
        <f aca="false">IF(C93="",0,INDEX(Kosten!$D$21:$D$27,MATCH(D93,Kosten!$A$21:$A$27,0)))</f>
        <v>0</v>
      </c>
    </row>
    <row r="94" customFormat="false" ht="15" hidden="false" customHeight="false" outlineLevel="0" collapsed="false">
      <c r="A94" s="13" t="str">
        <f aca="false">Perioden!$A$9</f>
        <v>P3</v>
      </c>
      <c r="B94" s="37" t="n">
        <v>18</v>
      </c>
      <c r="C94" s="38" t="str">
        <f aca="false">IF(B94&lt;=Perioden!$E$9,EDATE(Perioden!$C$9,B94-1),"")</f>
        <v/>
      </c>
      <c r="D94" s="37" t="str">
        <f aca="false">IF(C94="","",YEAR(C94))</f>
        <v/>
      </c>
      <c r="E94" s="22" t="n">
        <f aca="false">IF(C94="",0,INDEX(Kosten!$B$21:$B$27,MATCH(D94,Kosten!$A$21:$A$27,0)))</f>
        <v>0</v>
      </c>
      <c r="F94" s="22" t="n">
        <f aca="false">IF(C94="",0,INDEX(Kosten!$D$21:$D$27,MATCH(D94,Kosten!$A$21:$A$27,0)))</f>
        <v>0</v>
      </c>
    </row>
    <row r="95" customFormat="false" ht="15" hidden="false" customHeight="false" outlineLevel="0" collapsed="false">
      <c r="A95" s="13" t="str">
        <f aca="false">Perioden!$A$9</f>
        <v>P3</v>
      </c>
      <c r="B95" s="37" t="n">
        <v>19</v>
      </c>
      <c r="C95" s="38" t="str">
        <f aca="false">IF(B95&lt;=Perioden!$E$9,EDATE(Perioden!$C$9,B95-1),"")</f>
        <v/>
      </c>
      <c r="D95" s="37" t="str">
        <f aca="false">IF(C95="","",YEAR(C95))</f>
        <v/>
      </c>
      <c r="E95" s="22" t="n">
        <f aca="false">IF(C95="",0,INDEX(Kosten!$B$21:$B$27,MATCH(D95,Kosten!$A$21:$A$27,0)))</f>
        <v>0</v>
      </c>
      <c r="F95" s="22" t="n">
        <f aca="false">IF(C95="",0,INDEX(Kosten!$D$21:$D$27,MATCH(D95,Kosten!$A$21:$A$27,0)))</f>
        <v>0</v>
      </c>
    </row>
    <row r="96" customFormat="false" ht="15" hidden="false" customHeight="false" outlineLevel="0" collapsed="false">
      <c r="A96" s="13" t="str">
        <f aca="false">Perioden!$A$9</f>
        <v>P3</v>
      </c>
      <c r="B96" s="37" t="n">
        <v>20</v>
      </c>
      <c r="C96" s="38" t="str">
        <f aca="false">IF(B96&lt;=Perioden!$E$9,EDATE(Perioden!$C$9,B96-1),"")</f>
        <v/>
      </c>
      <c r="D96" s="37" t="str">
        <f aca="false">IF(C96="","",YEAR(C96))</f>
        <v/>
      </c>
      <c r="E96" s="22" t="n">
        <f aca="false">IF(C96="",0,INDEX(Kosten!$B$21:$B$27,MATCH(D96,Kosten!$A$21:$A$27,0)))</f>
        <v>0</v>
      </c>
      <c r="F96" s="22" t="n">
        <f aca="false">IF(C96="",0,INDEX(Kosten!$D$21:$D$27,MATCH(D96,Kosten!$A$21:$A$27,0)))</f>
        <v>0</v>
      </c>
    </row>
    <row r="97" customFormat="false" ht="15" hidden="false" customHeight="false" outlineLevel="0" collapsed="false">
      <c r="A97" s="13" t="str">
        <f aca="false">Perioden!$A$9</f>
        <v>P3</v>
      </c>
      <c r="B97" s="37" t="n">
        <v>21</v>
      </c>
      <c r="C97" s="38" t="str">
        <f aca="false">IF(B97&lt;=Perioden!$E$9,EDATE(Perioden!$C$9,B97-1),"")</f>
        <v/>
      </c>
      <c r="D97" s="37" t="str">
        <f aca="false">IF(C97="","",YEAR(C97))</f>
        <v/>
      </c>
      <c r="E97" s="22" t="n">
        <f aca="false">IF(C97="",0,INDEX(Kosten!$B$21:$B$27,MATCH(D97,Kosten!$A$21:$A$27,0)))</f>
        <v>0</v>
      </c>
      <c r="F97" s="22" t="n">
        <f aca="false">IF(C97="",0,INDEX(Kosten!$D$21:$D$27,MATCH(D97,Kosten!$A$21:$A$27,0)))</f>
        <v>0</v>
      </c>
    </row>
    <row r="98" customFormat="false" ht="15" hidden="false" customHeight="false" outlineLevel="0" collapsed="false">
      <c r="A98" s="13" t="str">
        <f aca="false">Perioden!$A$9</f>
        <v>P3</v>
      </c>
      <c r="B98" s="37" t="n">
        <v>22</v>
      </c>
      <c r="C98" s="38" t="str">
        <f aca="false">IF(B98&lt;=Perioden!$E$9,EDATE(Perioden!$C$9,B98-1),"")</f>
        <v/>
      </c>
      <c r="D98" s="37" t="str">
        <f aca="false">IF(C98="","",YEAR(C98))</f>
        <v/>
      </c>
      <c r="E98" s="22" t="n">
        <f aca="false">IF(C98="",0,INDEX(Kosten!$B$21:$B$27,MATCH(D98,Kosten!$A$21:$A$27,0)))</f>
        <v>0</v>
      </c>
      <c r="F98" s="22" t="n">
        <f aca="false">IF(C98="",0,INDEX(Kosten!$D$21:$D$27,MATCH(D98,Kosten!$A$21:$A$27,0)))</f>
        <v>0</v>
      </c>
    </row>
    <row r="99" customFormat="false" ht="15" hidden="false" customHeight="false" outlineLevel="0" collapsed="false">
      <c r="A99" s="13" t="str">
        <f aca="false">Perioden!$A$9</f>
        <v>P3</v>
      </c>
      <c r="B99" s="37" t="n">
        <v>23</v>
      </c>
      <c r="C99" s="38" t="str">
        <f aca="false">IF(B99&lt;=Perioden!$E$9,EDATE(Perioden!$C$9,B99-1),"")</f>
        <v/>
      </c>
      <c r="D99" s="37" t="str">
        <f aca="false">IF(C99="","",YEAR(C99))</f>
        <v/>
      </c>
      <c r="E99" s="22" t="n">
        <f aca="false">IF(C99="",0,INDEX(Kosten!$B$21:$B$27,MATCH(D99,Kosten!$A$21:$A$27,0)))</f>
        <v>0</v>
      </c>
      <c r="F99" s="22" t="n">
        <f aca="false">IF(C99="",0,INDEX(Kosten!$D$21:$D$27,MATCH(D99,Kosten!$A$21:$A$27,0)))</f>
        <v>0</v>
      </c>
    </row>
    <row r="100" customFormat="false" ht="15" hidden="false" customHeight="false" outlineLevel="0" collapsed="false">
      <c r="A100" s="13" t="str">
        <f aca="false">Perioden!$A$9</f>
        <v>P3</v>
      </c>
      <c r="B100" s="37" t="n">
        <v>24</v>
      </c>
      <c r="C100" s="38" t="str">
        <f aca="false">IF(B100&lt;=Perioden!$E$9,EDATE(Perioden!$C$9,B100-1),"")</f>
        <v/>
      </c>
      <c r="D100" s="37" t="str">
        <f aca="false">IF(C100="","",YEAR(C100))</f>
        <v/>
      </c>
      <c r="E100" s="22" t="n">
        <f aca="false">IF(C100="",0,INDEX(Kosten!$B$21:$B$27,MATCH(D100,Kosten!$A$21:$A$27,0)))</f>
        <v>0</v>
      </c>
      <c r="F100" s="22" t="n">
        <f aca="false">IF(C100="",0,INDEX(Kosten!$D$21:$D$27,MATCH(D100,Kosten!$A$21:$A$27,0)))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2026-10-16T12:40:24Z</dcterms:created>
  <dc:creator>openpyxl</dc:creator>
  <dc:description/>
  <dc:language>en-US</dc:language>
  <cp:lastModifiedBy/>
  <dcterms:modified xsi:type="dcterms:W3CDTF">2026-10-16T12:40:24Z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